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Questa_cartella_di_lavoro"/>
  <mc:AlternateContent xmlns:mc="http://schemas.openxmlformats.org/markup-compatibility/2006">
    <mc:Choice Requires="x15">
      <x15ac:absPath xmlns:x15ac="http://schemas.microsoft.com/office/spreadsheetml/2010/11/ac" url="/Users/mauropatti/Desktop/DESK/POLIMI/EXAMS POLIMI/Enterprise Trasformation/POST M&amp;A (II)/ET Assignment 2/"/>
    </mc:Choice>
  </mc:AlternateContent>
  <xr:revisionPtr revIDLastSave="0" documentId="13_ncr:1_{72719C8F-422D-304B-B54E-BAD93633C377}" xr6:coauthVersionLast="47" xr6:coauthVersionMax="47" xr10:uidLastSave="{00000000-0000-0000-0000-000000000000}"/>
  <bookViews>
    <workbookView xWindow="0" yWindow="600" windowWidth="28800" windowHeight="15900" xr2:uid="{EB4B94AA-67CD-4C67-9F0A-C47E336DC7B2}"/>
  </bookViews>
  <sheets>
    <sheet name="Input Data" sheetId="3" r:id="rId1"/>
    <sheet name="PetCare &amp; VetWell Business Plan" sheetId="8" r:id="rId2"/>
    <sheet name="Sensitivity" sheetId="11" r:id="rId3"/>
    <sheet name="Synergies" sheetId="9" state="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1" i="11" l="1"/>
  <c r="E101" i="11"/>
  <c r="C101" i="11"/>
  <c r="D100" i="11"/>
  <c r="E100" i="11"/>
  <c r="C100" i="11"/>
  <c r="D99" i="11"/>
  <c r="E99" i="11"/>
  <c r="C99" i="11"/>
  <c r="D109" i="11"/>
  <c r="E109" i="11"/>
  <c r="C109" i="11"/>
  <c r="D94" i="11"/>
  <c r="E94" i="11"/>
  <c r="C94" i="11"/>
  <c r="D93" i="11"/>
  <c r="E93" i="11"/>
  <c r="C93" i="11"/>
  <c r="D92" i="11"/>
  <c r="E92" i="11"/>
  <c r="C92" i="11"/>
  <c r="C91" i="11"/>
  <c r="C115" i="8"/>
  <c r="D91" i="11"/>
  <c r="E91" i="11"/>
  <c r="Q16" i="8" l="1"/>
  <c r="E115" i="8"/>
  <c r="E172" i="11"/>
  <c r="D172" i="11"/>
  <c r="C172" i="11"/>
  <c r="B172" i="11"/>
  <c r="C168" i="11"/>
  <c r="D159" i="11"/>
  <c r="C159" i="11"/>
  <c r="B159" i="11"/>
  <c r="E143" i="11"/>
  <c r="D143" i="11"/>
  <c r="C143" i="11"/>
  <c r="E142" i="11"/>
  <c r="D142" i="11"/>
  <c r="C142" i="11"/>
  <c r="E140" i="11"/>
  <c r="D140" i="11"/>
  <c r="C140" i="11"/>
  <c r="E108" i="11"/>
  <c r="B97" i="11"/>
  <c r="E159" i="11"/>
  <c r="K68" i="11"/>
  <c r="E171" i="11" s="1"/>
  <c r="J68" i="11"/>
  <c r="D171" i="11" s="1"/>
  <c r="I68" i="11"/>
  <c r="H68" i="11"/>
  <c r="B171" i="11" s="1"/>
  <c r="K67" i="11"/>
  <c r="Q65" i="11" s="1"/>
  <c r="E170" i="11" s="1"/>
  <c r="J67" i="11"/>
  <c r="I67" i="11"/>
  <c r="H67" i="11"/>
  <c r="E67" i="11"/>
  <c r="D67" i="11"/>
  <c r="C67" i="11"/>
  <c r="B67" i="11"/>
  <c r="Q66" i="11"/>
  <c r="N66" i="11"/>
  <c r="I66" i="11"/>
  <c r="H66" i="11"/>
  <c r="E66" i="11"/>
  <c r="D66" i="11"/>
  <c r="P65" i="11" s="1"/>
  <c r="D170" i="11" s="1"/>
  <c r="C66" i="11"/>
  <c r="B66" i="11"/>
  <c r="O65" i="11"/>
  <c r="C170" i="11" s="1"/>
  <c r="K65" i="11"/>
  <c r="J65" i="11"/>
  <c r="I65" i="11"/>
  <c r="H65" i="11"/>
  <c r="N63" i="11" s="1"/>
  <c r="B65" i="11"/>
  <c r="N64" i="11"/>
  <c r="E64" i="11"/>
  <c r="E168" i="11" s="1"/>
  <c r="D64" i="11"/>
  <c r="D168" i="11" s="1"/>
  <c r="C64" i="11"/>
  <c r="B64" i="11"/>
  <c r="K63" i="11"/>
  <c r="J63" i="11"/>
  <c r="P61" i="11" s="1"/>
  <c r="I63" i="11"/>
  <c r="H63" i="11"/>
  <c r="N61" i="11" s="1"/>
  <c r="E63" i="11"/>
  <c r="E167" i="11" s="1"/>
  <c r="D63" i="11"/>
  <c r="D167" i="11" s="1"/>
  <c r="C63" i="11"/>
  <c r="C167" i="11" s="1"/>
  <c r="B63" i="11"/>
  <c r="B167" i="11" s="1"/>
  <c r="B62" i="11"/>
  <c r="O61" i="11"/>
  <c r="E59" i="11"/>
  <c r="D59" i="11"/>
  <c r="C59" i="11"/>
  <c r="B59" i="11"/>
  <c r="H58" i="11"/>
  <c r="N56" i="11" s="1"/>
  <c r="H57" i="11"/>
  <c r="N55" i="11" s="1"/>
  <c r="H56" i="11"/>
  <c r="N54" i="11" s="1"/>
  <c r="H55" i="11"/>
  <c r="B55" i="11"/>
  <c r="H54" i="11"/>
  <c r="H53" i="11"/>
  <c r="B53" i="11"/>
  <c r="N51" i="11" s="1"/>
  <c r="H52" i="11"/>
  <c r="B52" i="11"/>
  <c r="H47" i="11"/>
  <c r="H46" i="11"/>
  <c r="N45" i="11"/>
  <c r="B144" i="11" s="1"/>
  <c r="H45" i="11"/>
  <c r="H44" i="11"/>
  <c r="I64" i="11" s="1"/>
  <c r="H43" i="11"/>
  <c r="B43" i="11"/>
  <c r="N42" i="11" s="1"/>
  <c r="B141" i="11" s="1"/>
  <c r="H42" i="11"/>
  <c r="I40" i="11" s="1"/>
  <c r="J40" i="11" s="1"/>
  <c r="K40" i="11" s="1"/>
  <c r="B42" i="11"/>
  <c r="D60" i="11" s="1"/>
  <c r="H41" i="11"/>
  <c r="H40" i="11"/>
  <c r="B40" i="11"/>
  <c r="H39" i="11"/>
  <c r="B39" i="11"/>
  <c r="K38" i="11"/>
  <c r="J38" i="11"/>
  <c r="I38" i="11"/>
  <c r="H38" i="11"/>
  <c r="E38" i="11"/>
  <c r="E60" i="11" s="1"/>
  <c r="D38" i="11"/>
  <c r="C38" i="11"/>
  <c r="B38" i="11"/>
  <c r="N36" i="11"/>
  <c r="B135" i="11" s="1"/>
  <c r="Q35" i="11"/>
  <c r="P35" i="11"/>
  <c r="O35" i="11"/>
  <c r="H30" i="11"/>
  <c r="I30" i="11" s="1"/>
  <c r="O30" i="11" s="1"/>
  <c r="H29" i="11"/>
  <c r="N28" i="11"/>
  <c r="B127" i="11" s="1"/>
  <c r="H28" i="11"/>
  <c r="I28" i="11" s="1"/>
  <c r="J28" i="11" s="1"/>
  <c r="J57" i="11" s="1"/>
  <c r="P55" i="11" s="1"/>
  <c r="H26" i="11"/>
  <c r="I23" i="11" s="1"/>
  <c r="J23" i="11" s="1"/>
  <c r="K23" i="11" s="1"/>
  <c r="K54" i="11" s="1"/>
  <c r="N25" i="11"/>
  <c r="B124" i="11" s="1"/>
  <c r="B155" i="11" s="1"/>
  <c r="H25" i="11"/>
  <c r="H24" i="11"/>
  <c r="B24" i="11"/>
  <c r="N24" i="11" s="1"/>
  <c r="H23" i="11"/>
  <c r="B23" i="11"/>
  <c r="B54" i="11" s="1"/>
  <c r="H22" i="11"/>
  <c r="B22" i="11"/>
  <c r="N22" i="11" s="1"/>
  <c r="N21" i="11"/>
  <c r="B120" i="11" s="1"/>
  <c r="B151" i="11" s="1"/>
  <c r="H21" i="11"/>
  <c r="B21" i="11"/>
  <c r="K16" i="11"/>
  <c r="J16" i="11"/>
  <c r="I16" i="11"/>
  <c r="E16" i="11"/>
  <c r="D16" i="11"/>
  <c r="C16" i="11"/>
  <c r="I15" i="11"/>
  <c r="J15" i="11" s="1"/>
  <c r="K15" i="11" s="1"/>
  <c r="H15" i="11"/>
  <c r="B15" i="11"/>
  <c r="C15" i="11" s="1"/>
  <c r="O15" i="11" s="1"/>
  <c r="B160" i="8"/>
  <c r="B179" i="8"/>
  <c r="C164" i="8"/>
  <c r="C163" i="8"/>
  <c r="B152" i="8"/>
  <c r="C167" i="8"/>
  <c r="C125" i="8"/>
  <c r="C120" i="8" s="1"/>
  <c r="C151" i="8" s="1"/>
  <c r="N75" i="8"/>
  <c r="T69" i="9"/>
  <c r="U69" i="9"/>
  <c r="V69" i="9"/>
  <c r="S69" i="9"/>
  <c r="C293" i="9"/>
  <c r="C270" i="9" s="1"/>
  <c r="C294" i="9"/>
  <c r="C271" i="9" s="1"/>
  <c r="C295" i="9"/>
  <c r="C272" i="9" s="1"/>
  <c r="B295" i="9"/>
  <c r="B272" i="9" s="1"/>
  <c r="B294" i="9"/>
  <c r="B271" i="9" s="1"/>
  <c r="B293" i="9"/>
  <c r="B270" i="9" s="1"/>
  <c r="C288" i="9"/>
  <c r="C265" i="9" s="1"/>
  <c r="C289" i="9"/>
  <c r="C266" i="9" s="1"/>
  <c r="C290" i="9"/>
  <c r="C267" i="9" s="1"/>
  <c r="B289" i="9"/>
  <c r="B266" i="9" s="1"/>
  <c r="B290" i="9"/>
  <c r="B267" i="9" s="1"/>
  <c r="B288" i="9"/>
  <c r="B265" i="9" s="1"/>
  <c r="C252" i="9"/>
  <c r="D252" i="9"/>
  <c r="E252" i="9"/>
  <c r="B252" i="9"/>
  <c r="C230" i="9"/>
  <c r="D230" i="9"/>
  <c r="E230" i="9"/>
  <c r="C231" i="9"/>
  <c r="D231" i="9"/>
  <c r="E231" i="9"/>
  <c r="C232" i="9"/>
  <c r="D232" i="9"/>
  <c r="E232" i="9"/>
  <c r="C233" i="9"/>
  <c r="D233" i="9"/>
  <c r="E233" i="9"/>
  <c r="C234" i="9"/>
  <c r="D234" i="9"/>
  <c r="E234" i="9"/>
  <c r="C235" i="9"/>
  <c r="D235" i="9"/>
  <c r="E235" i="9"/>
  <c r="C236" i="9"/>
  <c r="D236" i="9"/>
  <c r="E236" i="9"/>
  <c r="C237" i="9"/>
  <c r="D237" i="9"/>
  <c r="E237" i="9"/>
  <c r="C238" i="9"/>
  <c r="D238" i="9"/>
  <c r="E238" i="9"/>
  <c r="C239" i="9"/>
  <c r="D239" i="9"/>
  <c r="E239" i="9"/>
  <c r="C241" i="9"/>
  <c r="D241" i="9"/>
  <c r="E241" i="9"/>
  <c r="C242" i="9"/>
  <c r="D242" i="9"/>
  <c r="E242" i="9"/>
  <c r="C243" i="9"/>
  <c r="D243" i="9"/>
  <c r="E243" i="9"/>
  <c r="C245" i="9"/>
  <c r="D245" i="9"/>
  <c r="E245" i="9"/>
  <c r="C246" i="9"/>
  <c r="D246" i="9"/>
  <c r="E246" i="9"/>
  <c r="C247" i="9"/>
  <c r="D247" i="9"/>
  <c r="E247" i="9"/>
  <c r="C248" i="9"/>
  <c r="D248" i="9"/>
  <c r="E248" i="9"/>
  <c r="C249" i="9"/>
  <c r="D249" i="9"/>
  <c r="E249" i="9"/>
  <c r="C250" i="9"/>
  <c r="D250" i="9"/>
  <c r="E250" i="9"/>
  <c r="C251" i="9"/>
  <c r="D251" i="9"/>
  <c r="E251" i="9"/>
  <c r="B230" i="9"/>
  <c r="B231" i="9"/>
  <c r="B232" i="9"/>
  <c r="B233" i="9"/>
  <c r="B234" i="9"/>
  <c r="B235" i="9"/>
  <c r="B236" i="9"/>
  <c r="B237" i="9"/>
  <c r="B238" i="9"/>
  <c r="B239" i="9"/>
  <c r="B241" i="9"/>
  <c r="B242" i="9"/>
  <c r="B243" i="9"/>
  <c r="B245" i="9"/>
  <c r="B246" i="9"/>
  <c r="B247" i="9"/>
  <c r="B248" i="9"/>
  <c r="B249" i="9"/>
  <c r="B250" i="9"/>
  <c r="B251" i="9"/>
  <c r="L169" i="9"/>
  <c r="E172" i="9"/>
  <c r="K176" i="9" s="1"/>
  <c r="D172" i="9"/>
  <c r="J176" i="9" s="1"/>
  <c r="C172" i="9"/>
  <c r="I176" i="9" s="1"/>
  <c r="B172" i="9"/>
  <c r="H176" i="9" s="1"/>
  <c r="C159" i="9"/>
  <c r="I163" i="9" s="1"/>
  <c r="B159" i="9"/>
  <c r="H163" i="9" s="1"/>
  <c r="E143" i="9"/>
  <c r="D143" i="9"/>
  <c r="C143" i="9"/>
  <c r="E142" i="9"/>
  <c r="D142" i="9"/>
  <c r="C142" i="9"/>
  <c r="E140" i="9"/>
  <c r="D140" i="9"/>
  <c r="C140" i="9"/>
  <c r="E108" i="9"/>
  <c r="B97" i="9"/>
  <c r="E94" i="9"/>
  <c r="E159" i="9" s="1"/>
  <c r="K163" i="9" s="1"/>
  <c r="D94" i="9"/>
  <c r="D159" i="9" s="1"/>
  <c r="J163" i="9" s="1"/>
  <c r="K68" i="9"/>
  <c r="J68" i="9"/>
  <c r="D171" i="9" s="1"/>
  <c r="I68" i="9"/>
  <c r="C171" i="9" s="1"/>
  <c r="H68" i="9"/>
  <c r="K67" i="9"/>
  <c r="J67" i="9"/>
  <c r="I67" i="9"/>
  <c r="H67" i="9"/>
  <c r="E67" i="9"/>
  <c r="D67" i="9"/>
  <c r="C67" i="9"/>
  <c r="B67" i="9"/>
  <c r="H66" i="9"/>
  <c r="E66" i="9"/>
  <c r="D66" i="9"/>
  <c r="C66" i="9"/>
  <c r="B66" i="9"/>
  <c r="K65" i="9"/>
  <c r="J65" i="9"/>
  <c r="I65" i="9"/>
  <c r="H65" i="9"/>
  <c r="B65" i="9"/>
  <c r="E64" i="9"/>
  <c r="D64" i="9"/>
  <c r="C64" i="9"/>
  <c r="B64" i="9"/>
  <c r="K63" i="9"/>
  <c r="J63" i="9"/>
  <c r="I63" i="9"/>
  <c r="H63" i="9"/>
  <c r="E63" i="9"/>
  <c r="E167" i="9" s="1"/>
  <c r="K171" i="9" s="1"/>
  <c r="D63" i="9"/>
  <c r="D167" i="9" s="1"/>
  <c r="J171" i="9" s="1"/>
  <c r="C63" i="9"/>
  <c r="C167" i="9" s="1"/>
  <c r="I171" i="9" s="1"/>
  <c r="B63" i="9"/>
  <c r="B167" i="9" s="1"/>
  <c r="H171" i="9" s="1"/>
  <c r="B62" i="9"/>
  <c r="B291" i="9" s="1"/>
  <c r="B268" i="9" s="1"/>
  <c r="E59" i="9"/>
  <c r="D59" i="9"/>
  <c r="C59" i="9"/>
  <c r="B59" i="9"/>
  <c r="H47" i="9"/>
  <c r="N45" i="9" s="1"/>
  <c r="B144" i="9" s="1"/>
  <c r="H46" i="9"/>
  <c r="H45" i="9"/>
  <c r="H43" i="9"/>
  <c r="H41" i="9"/>
  <c r="N39" i="9" s="1"/>
  <c r="B138" i="9" s="1"/>
  <c r="H40" i="9"/>
  <c r="B40" i="9"/>
  <c r="B44" i="9" s="1"/>
  <c r="H39" i="9"/>
  <c r="N38" i="9" s="1"/>
  <c r="B137" i="9" s="1"/>
  <c r="C137" i="9" s="1"/>
  <c r="D137" i="9" s="1"/>
  <c r="E137" i="9" s="1"/>
  <c r="B39" i="9"/>
  <c r="N36" i="9" s="1"/>
  <c r="B135" i="9" s="1"/>
  <c r="K38" i="9"/>
  <c r="J38" i="9"/>
  <c r="I38" i="9"/>
  <c r="H38" i="9"/>
  <c r="H44" i="9" s="1"/>
  <c r="H64" i="9" s="1"/>
  <c r="E38" i="9"/>
  <c r="D38" i="9"/>
  <c r="C38" i="9"/>
  <c r="B38" i="9"/>
  <c r="B42" i="9" s="1"/>
  <c r="H30" i="9"/>
  <c r="H29" i="9"/>
  <c r="N29" i="9" s="1"/>
  <c r="B128" i="9" s="1"/>
  <c r="H28" i="9"/>
  <c r="H25" i="9"/>
  <c r="H24" i="9"/>
  <c r="H55" i="9" s="1"/>
  <c r="B24" i="9"/>
  <c r="H23" i="9"/>
  <c r="B23" i="9"/>
  <c r="H22" i="9"/>
  <c r="H53" i="9" s="1"/>
  <c r="B22" i="9"/>
  <c r="H21" i="9"/>
  <c r="B21" i="9"/>
  <c r="B52" i="9" s="1"/>
  <c r="K16" i="9"/>
  <c r="J16" i="9"/>
  <c r="I16" i="9"/>
  <c r="H42" i="9" s="1"/>
  <c r="E16" i="9"/>
  <c r="D16" i="9"/>
  <c r="C16" i="9"/>
  <c r="B25" i="9" s="1"/>
  <c r="H15" i="9"/>
  <c r="B15" i="9"/>
  <c r="E167" i="8"/>
  <c r="D167" i="8"/>
  <c r="D166" i="8"/>
  <c r="E166" i="8"/>
  <c r="C166" i="8"/>
  <c r="C172" i="8"/>
  <c r="D172" i="8"/>
  <c r="E172" i="8"/>
  <c r="B172" i="8"/>
  <c r="D94" i="8"/>
  <c r="E94" i="8"/>
  <c r="B50" i="3"/>
  <c r="E108" i="8"/>
  <c r="B51" i="3"/>
  <c r="F52" i="3"/>
  <c r="F47" i="3"/>
  <c r="B47" i="3"/>
  <c r="F50" i="3"/>
  <c r="F48" i="3"/>
  <c r="I49" i="3"/>
  <c r="I50" i="3"/>
  <c r="I51" i="3"/>
  <c r="I48" i="3"/>
  <c r="J49" i="3"/>
  <c r="J50" i="3"/>
  <c r="J51" i="3"/>
  <c r="J48" i="3"/>
  <c r="C143" i="8"/>
  <c r="D143" i="8"/>
  <c r="E143" i="8"/>
  <c r="E142" i="8"/>
  <c r="D142" i="8"/>
  <c r="C142" i="8"/>
  <c r="C140" i="8"/>
  <c r="D140" i="8"/>
  <c r="E140" i="8"/>
  <c r="C159" i="8"/>
  <c r="B159" i="8"/>
  <c r="E159" i="8"/>
  <c r="D159" i="8"/>
  <c r="B48" i="3"/>
  <c r="B97" i="8"/>
  <c r="I65" i="8"/>
  <c r="J65" i="8"/>
  <c r="K65" i="8"/>
  <c r="H65" i="8"/>
  <c r="I68" i="8"/>
  <c r="C171" i="8" s="1"/>
  <c r="J68" i="8"/>
  <c r="D171" i="8" s="1"/>
  <c r="K68" i="8"/>
  <c r="E171" i="8" s="1"/>
  <c r="I67" i="8"/>
  <c r="J67" i="8"/>
  <c r="K67" i="8"/>
  <c r="H67" i="8"/>
  <c r="H68" i="8"/>
  <c r="B171" i="8" s="1"/>
  <c r="H66" i="8"/>
  <c r="I63" i="8"/>
  <c r="J63" i="8"/>
  <c r="K63" i="8"/>
  <c r="H63" i="8"/>
  <c r="D63" i="8"/>
  <c r="E63" i="8"/>
  <c r="C64" i="8"/>
  <c r="D64" i="8"/>
  <c r="E64" i="8"/>
  <c r="C66" i="8"/>
  <c r="D66" i="8"/>
  <c r="E66" i="8"/>
  <c r="C67" i="8"/>
  <c r="D67" i="8"/>
  <c r="E67" i="8"/>
  <c r="B67" i="8"/>
  <c r="B66" i="8"/>
  <c r="C59" i="8"/>
  <c r="D59" i="8"/>
  <c r="E59" i="8"/>
  <c r="B59" i="8"/>
  <c r="H43" i="8"/>
  <c r="H40" i="8"/>
  <c r="H39" i="8"/>
  <c r="H41" i="8"/>
  <c r="N39" i="8" s="1"/>
  <c r="B138" i="8" s="1"/>
  <c r="I38" i="8"/>
  <c r="J38" i="8"/>
  <c r="K38" i="8"/>
  <c r="H38" i="8"/>
  <c r="H44" i="8" s="1"/>
  <c r="H64" i="8" s="1"/>
  <c r="C38" i="8"/>
  <c r="D38" i="8"/>
  <c r="E38" i="8"/>
  <c r="B38" i="8"/>
  <c r="B42" i="8" s="1"/>
  <c r="B39" i="8"/>
  <c r="B43" i="8" s="1"/>
  <c r="N42" i="8" s="1"/>
  <c r="B141" i="8" s="1"/>
  <c r="B40" i="8"/>
  <c r="B44" i="8" s="1"/>
  <c r="B65" i="8"/>
  <c r="F29" i="3"/>
  <c r="H47" i="8" s="1"/>
  <c r="N45" i="8" s="1"/>
  <c r="B144" i="8" s="1"/>
  <c r="F28" i="3"/>
  <c r="H46" i="8" s="1"/>
  <c r="F27" i="3"/>
  <c r="H45" i="8" s="1"/>
  <c r="B28" i="3"/>
  <c r="B27" i="3"/>
  <c r="H22" i="8"/>
  <c r="H53" i="8" s="1"/>
  <c r="H23" i="8"/>
  <c r="H54" i="8" s="1"/>
  <c r="H24" i="8"/>
  <c r="H55" i="8" s="1"/>
  <c r="H28" i="8"/>
  <c r="I28" i="8" s="1"/>
  <c r="O28" i="8" s="1"/>
  <c r="H25" i="8"/>
  <c r="H56" i="8" s="1"/>
  <c r="N54" i="8" s="1"/>
  <c r="H29" i="8"/>
  <c r="I29" i="8" s="1"/>
  <c r="J29" i="8" s="1"/>
  <c r="K29" i="8" s="1"/>
  <c r="K58" i="8" s="1"/>
  <c r="Q56" i="8" s="1"/>
  <c r="H30" i="8"/>
  <c r="I30" i="8" s="1"/>
  <c r="J30" i="8" s="1"/>
  <c r="K30" i="8" s="1"/>
  <c r="K59" i="8" s="1"/>
  <c r="Q57" i="8" s="1"/>
  <c r="H21" i="8"/>
  <c r="B22" i="8"/>
  <c r="B53" i="8" s="1"/>
  <c r="B23" i="8"/>
  <c r="B54" i="8" s="1"/>
  <c r="B24" i="8"/>
  <c r="B55" i="8" s="1"/>
  <c r="B21" i="8"/>
  <c r="B52" i="8" s="1"/>
  <c r="J16" i="8"/>
  <c r="K16" i="8"/>
  <c r="I16" i="8"/>
  <c r="H26" i="8" s="1"/>
  <c r="H15" i="8"/>
  <c r="D16" i="8"/>
  <c r="E16" i="8"/>
  <c r="C16" i="8"/>
  <c r="B25" i="8" s="1"/>
  <c r="B15" i="8"/>
  <c r="B33" i="3"/>
  <c r="B63" i="8" s="1"/>
  <c r="B167" i="8" s="1"/>
  <c r="B32" i="3"/>
  <c r="B34" i="3" s="1"/>
  <c r="B64" i="8" s="1"/>
  <c r="J64" i="11" l="1"/>
  <c r="I57" i="11"/>
  <c r="O55" i="11" s="1"/>
  <c r="N52" i="11"/>
  <c r="O28" i="11"/>
  <c r="N31" i="11" s="1"/>
  <c r="C130" i="8"/>
  <c r="I22" i="11"/>
  <c r="I53" i="11" s="1"/>
  <c r="N50" i="11"/>
  <c r="O24" i="11"/>
  <c r="P24" i="11" s="1"/>
  <c r="Q24" i="11" s="1"/>
  <c r="I24" i="11"/>
  <c r="I55" i="11" s="1"/>
  <c r="H64" i="11"/>
  <c r="N53" i="11"/>
  <c r="P62" i="11"/>
  <c r="J24" i="11"/>
  <c r="K28" i="11"/>
  <c r="J30" i="11"/>
  <c r="H59" i="11"/>
  <c r="N57" i="11" s="1"/>
  <c r="B41" i="11"/>
  <c r="B25" i="11"/>
  <c r="C21" i="11" s="1"/>
  <c r="D15" i="11"/>
  <c r="H62" i="11"/>
  <c r="Q61" i="11"/>
  <c r="O22" i="11"/>
  <c r="P22" i="11" s="1"/>
  <c r="Q22" i="11" s="1"/>
  <c r="B121" i="11"/>
  <c r="I54" i="11"/>
  <c r="B156" i="11"/>
  <c r="J54" i="11"/>
  <c r="I39" i="11"/>
  <c r="I59" i="11"/>
  <c r="O57" i="11" s="1"/>
  <c r="O66" i="11"/>
  <c r="C171" i="11"/>
  <c r="B123" i="11"/>
  <c r="P28" i="11"/>
  <c r="N30" i="11"/>
  <c r="B129" i="11" s="1"/>
  <c r="B56" i="11"/>
  <c r="B77" i="11" s="1"/>
  <c r="I21" i="11"/>
  <c r="I29" i="11"/>
  <c r="N29" i="11"/>
  <c r="B128" i="11" s="1"/>
  <c r="B157" i="11" s="1"/>
  <c r="N35" i="11"/>
  <c r="B60" i="11"/>
  <c r="N38" i="11"/>
  <c r="B137" i="11" s="1"/>
  <c r="C137" i="11" s="1"/>
  <c r="D137" i="11" s="1"/>
  <c r="E137" i="11" s="1"/>
  <c r="B166" i="11"/>
  <c r="N15" i="11"/>
  <c r="N23" i="11"/>
  <c r="C60" i="11"/>
  <c r="K64" i="11"/>
  <c r="P66" i="11"/>
  <c r="I25" i="11"/>
  <c r="B44" i="11"/>
  <c r="B58" i="11" s="1"/>
  <c r="N37" i="11"/>
  <c r="B136" i="11" s="1"/>
  <c r="C136" i="11" s="1"/>
  <c r="N39" i="11"/>
  <c r="B138" i="11" s="1"/>
  <c r="I41" i="11"/>
  <c r="B168" i="11"/>
  <c r="J66" i="11"/>
  <c r="N65" i="11"/>
  <c r="B170" i="11" s="1"/>
  <c r="B292" i="9"/>
  <c r="B269" i="9" s="1"/>
  <c r="C292" i="9"/>
  <c r="C269" i="9" s="1"/>
  <c r="B274" i="9"/>
  <c r="B297" i="9"/>
  <c r="Q61" i="9"/>
  <c r="N23" i="9"/>
  <c r="B122" i="9" s="1"/>
  <c r="B153" i="9" s="1"/>
  <c r="P65" i="9"/>
  <c r="D170" i="9" s="1"/>
  <c r="J174" i="9" s="1"/>
  <c r="N22" i="9"/>
  <c r="B121" i="9" s="1"/>
  <c r="B152" i="9" s="1"/>
  <c r="N64" i="9"/>
  <c r="N24" i="9"/>
  <c r="B123" i="9" s="1"/>
  <c r="B154" i="9" s="1"/>
  <c r="Q65" i="9"/>
  <c r="E170" i="9" s="1"/>
  <c r="K174" i="9" s="1"/>
  <c r="C65" i="9"/>
  <c r="D65" i="9" s="1"/>
  <c r="C254" i="9"/>
  <c r="C255" i="9" s="1"/>
  <c r="E168" i="9"/>
  <c r="K172" i="9" s="1"/>
  <c r="N15" i="9"/>
  <c r="B114" i="9" s="1"/>
  <c r="O61" i="9"/>
  <c r="O65" i="9"/>
  <c r="C170" i="9" s="1"/>
  <c r="I174" i="9" s="1"/>
  <c r="B254" i="9"/>
  <c r="B255" i="9" s="1"/>
  <c r="K64" i="9"/>
  <c r="B54" i="9"/>
  <c r="L171" i="9"/>
  <c r="N37" i="9"/>
  <c r="B136" i="9" s="1"/>
  <c r="C136" i="9" s="1"/>
  <c r="C162" i="9" s="1"/>
  <c r="D168" i="9"/>
  <c r="J172" i="9" s="1"/>
  <c r="E254" i="9"/>
  <c r="E255" i="9" s="1"/>
  <c r="N21" i="9"/>
  <c r="B120" i="9" s="1"/>
  <c r="B151" i="9" s="1"/>
  <c r="P61" i="9"/>
  <c r="N63" i="9"/>
  <c r="J64" i="9"/>
  <c r="C168" i="9"/>
  <c r="I172" i="9" s="1"/>
  <c r="L176" i="9"/>
  <c r="C15" i="9"/>
  <c r="D15" i="9" s="1"/>
  <c r="E15" i="9" s="1"/>
  <c r="B171" i="9"/>
  <c r="D254" i="9"/>
  <c r="D255" i="9" s="1"/>
  <c r="L163" i="9"/>
  <c r="B41" i="9"/>
  <c r="C40" i="9" s="1"/>
  <c r="D40" i="9" s="1"/>
  <c r="N66" i="9"/>
  <c r="N65" i="9"/>
  <c r="B170" i="9" s="1"/>
  <c r="H174" i="9" s="1"/>
  <c r="C23" i="9"/>
  <c r="D23" i="9" s="1"/>
  <c r="H26" i="9"/>
  <c r="I22" i="9" s="1"/>
  <c r="J22" i="9" s="1"/>
  <c r="C21" i="9"/>
  <c r="C52" i="9" s="1"/>
  <c r="I29" i="9"/>
  <c r="J29" i="9" s="1"/>
  <c r="P29" i="9" s="1"/>
  <c r="I64" i="9"/>
  <c r="B157" i="9"/>
  <c r="H54" i="9"/>
  <c r="N43" i="9"/>
  <c r="B105" i="9" s="1"/>
  <c r="B142" i="9" s="1"/>
  <c r="H58" i="9"/>
  <c r="N56" i="9" s="1"/>
  <c r="I15" i="9"/>
  <c r="J15" i="9" s="1"/>
  <c r="K15" i="9" s="1"/>
  <c r="H57" i="9"/>
  <c r="N55" i="9" s="1"/>
  <c r="N28" i="9"/>
  <c r="B127" i="9" s="1"/>
  <c r="D60" i="9"/>
  <c r="P35" i="9"/>
  <c r="B60" i="9"/>
  <c r="B168" i="9"/>
  <c r="H172" i="9" s="1"/>
  <c r="I66" i="9"/>
  <c r="H59" i="9"/>
  <c r="N57" i="9" s="1"/>
  <c r="N30" i="9"/>
  <c r="B129" i="9" s="1"/>
  <c r="N61" i="9"/>
  <c r="O66" i="9"/>
  <c r="I175" i="9" s="1"/>
  <c r="C60" i="9"/>
  <c r="O35" i="9"/>
  <c r="I41" i="9"/>
  <c r="I28" i="9"/>
  <c r="C62" i="9"/>
  <c r="B166" i="9"/>
  <c r="H170" i="9" s="1"/>
  <c r="B53" i="9"/>
  <c r="C22" i="9"/>
  <c r="I30" i="9"/>
  <c r="H62" i="9"/>
  <c r="B43" i="9"/>
  <c r="P66" i="9"/>
  <c r="J175" i="9" s="1"/>
  <c r="H52" i="9"/>
  <c r="N50" i="9" s="1"/>
  <c r="N35" i="9"/>
  <c r="B134" i="9" s="1"/>
  <c r="H56" i="9"/>
  <c r="N54" i="9" s="1"/>
  <c r="N25" i="9"/>
  <c r="B124" i="9" s="1"/>
  <c r="Q35" i="9"/>
  <c r="E60" i="9"/>
  <c r="B55" i="9"/>
  <c r="N53" i="9" s="1"/>
  <c r="C24" i="9"/>
  <c r="I39" i="9"/>
  <c r="I40" i="9"/>
  <c r="J40" i="9" s="1"/>
  <c r="K40" i="9" s="1"/>
  <c r="Q66" i="9"/>
  <c r="E171" i="9"/>
  <c r="N64" i="8"/>
  <c r="B62" i="8"/>
  <c r="B166" i="8" s="1"/>
  <c r="C63" i="8"/>
  <c r="C168" i="8"/>
  <c r="N63" i="8"/>
  <c r="E168" i="8"/>
  <c r="D168" i="8"/>
  <c r="B168" i="8"/>
  <c r="N52" i="8"/>
  <c r="I15" i="8"/>
  <c r="J15" i="8" s="1"/>
  <c r="K15" i="8" s="1"/>
  <c r="P65" i="8"/>
  <c r="D170" i="8" s="1"/>
  <c r="Q61" i="8"/>
  <c r="P61" i="8"/>
  <c r="Q66" i="8"/>
  <c r="O65" i="8"/>
  <c r="C170" i="8" s="1"/>
  <c r="N61" i="8"/>
  <c r="O61" i="8"/>
  <c r="P66" i="8"/>
  <c r="Q65" i="8"/>
  <c r="E170" i="8" s="1"/>
  <c r="O66" i="8"/>
  <c r="N51" i="8"/>
  <c r="N53" i="8"/>
  <c r="N66" i="8"/>
  <c r="K64" i="8"/>
  <c r="I64" i="8"/>
  <c r="J64" i="8"/>
  <c r="P35" i="8"/>
  <c r="N37" i="8"/>
  <c r="Q35" i="8"/>
  <c r="O35" i="8"/>
  <c r="N65" i="8"/>
  <c r="B170" i="8" s="1"/>
  <c r="C62" i="8"/>
  <c r="N30" i="8"/>
  <c r="B129" i="8" s="1"/>
  <c r="B158" i="8" s="1"/>
  <c r="Q30" i="8"/>
  <c r="I66" i="8"/>
  <c r="N36" i="8"/>
  <c r="B135" i="8" s="1"/>
  <c r="H62" i="8"/>
  <c r="N35" i="8"/>
  <c r="N38" i="8"/>
  <c r="N23" i="8"/>
  <c r="N29" i="8"/>
  <c r="B128" i="8" s="1"/>
  <c r="B157" i="8" s="1"/>
  <c r="N24" i="8"/>
  <c r="N25" i="8"/>
  <c r="B124" i="8" s="1"/>
  <c r="P30" i="8"/>
  <c r="Q29" i="8"/>
  <c r="P29" i="8"/>
  <c r="O29" i="8"/>
  <c r="N22" i="8"/>
  <c r="N21" i="8"/>
  <c r="N28" i="8"/>
  <c r="O30" i="8"/>
  <c r="C65" i="8"/>
  <c r="B58" i="8"/>
  <c r="D60" i="8"/>
  <c r="C60" i="8"/>
  <c r="I41" i="8"/>
  <c r="E60" i="8"/>
  <c r="B60" i="8"/>
  <c r="N62" i="8" s="1"/>
  <c r="H42" i="8"/>
  <c r="B41" i="8"/>
  <c r="C40" i="8" s="1"/>
  <c r="I21" i="8"/>
  <c r="J21" i="8" s="1"/>
  <c r="K21" i="8" s="1"/>
  <c r="K52" i="8" s="1"/>
  <c r="H58" i="8"/>
  <c r="N56" i="8" s="1"/>
  <c r="J58" i="8"/>
  <c r="P56" i="8" s="1"/>
  <c r="I58" i="8"/>
  <c r="O56" i="8" s="1"/>
  <c r="H52" i="8"/>
  <c r="J28" i="8"/>
  <c r="P28" i="8" s="1"/>
  <c r="I57" i="8"/>
  <c r="H57" i="8"/>
  <c r="N55" i="8" s="1"/>
  <c r="J59" i="8"/>
  <c r="P57" i="8" s="1"/>
  <c r="I59" i="8"/>
  <c r="O57" i="8" s="1"/>
  <c r="H59" i="8"/>
  <c r="N57" i="8" s="1"/>
  <c r="I25" i="8"/>
  <c r="O25" i="8" s="1"/>
  <c r="I23" i="8"/>
  <c r="I24" i="8"/>
  <c r="I22" i="8"/>
  <c r="C22" i="8"/>
  <c r="C24" i="8"/>
  <c r="C21" i="8"/>
  <c r="C23" i="8"/>
  <c r="N15" i="8"/>
  <c r="B114" i="8" s="1"/>
  <c r="C15" i="8"/>
  <c r="B56" i="8"/>
  <c r="B75" i="8" s="1"/>
  <c r="J22" i="11" l="1"/>
  <c r="J53" i="11" s="1"/>
  <c r="N58" i="11"/>
  <c r="N76" i="11" s="1"/>
  <c r="H60" i="11"/>
  <c r="C23" i="11"/>
  <c r="C54" i="11" s="1"/>
  <c r="O52" i="11" s="1"/>
  <c r="P30" i="11"/>
  <c r="J59" i="11"/>
  <c r="P57" i="11" s="1"/>
  <c r="K30" i="11"/>
  <c r="D136" i="11"/>
  <c r="C162" i="11"/>
  <c r="N44" i="11"/>
  <c r="B104" i="11" s="1"/>
  <c r="B143" i="11" s="1"/>
  <c r="N43" i="11"/>
  <c r="B105" i="11" s="1"/>
  <c r="B142" i="11" s="1"/>
  <c r="B162" i="11" s="1"/>
  <c r="C24" i="11"/>
  <c r="C22" i="11"/>
  <c r="C65" i="11"/>
  <c r="K57" i="11"/>
  <c r="Q55" i="11" s="1"/>
  <c r="Q28" i="11"/>
  <c r="B68" i="11"/>
  <c r="B74" i="11"/>
  <c r="H75" i="11"/>
  <c r="H69" i="11"/>
  <c r="N60" i="11"/>
  <c r="H71" i="11"/>
  <c r="H72" i="11" s="1"/>
  <c r="H76" i="11"/>
  <c r="Q62" i="11"/>
  <c r="B76" i="11"/>
  <c r="N62" i="11"/>
  <c r="C52" i="11"/>
  <c r="D21" i="11"/>
  <c r="O21" i="11"/>
  <c r="N26" i="11" s="1"/>
  <c r="E15" i="11"/>
  <c r="Q15" i="11" s="1"/>
  <c r="P15" i="11"/>
  <c r="P16" i="11" s="1"/>
  <c r="O25" i="11"/>
  <c r="J25" i="11"/>
  <c r="I56" i="11"/>
  <c r="O54" i="11" s="1"/>
  <c r="N41" i="11"/>
  <c r="B103" i="11" s="1"/>
  <c r="B140" i="11" s="1"/>
  <c r="B134" i="11"/>
  <c r="B158" i="11"/>
  <c r="O62" i="11"/>
  <c r="B122" i="11"/>
  <c r="O23" i="11"/>
  <c r="P23" i="11" s="1"/>
  <c r="Q23" i="11" s="1"/>
  <c r="C39" i="11"/>
  <c r="C40" i="11"/>
  <c r="K66" i="11"/>
  <c r="B114" i="11"/>
  <c r="O16" i="11"/>
  <c r="I58" i="11"/>
  <c r="O56" i="11" s="1"/>
  <c r="J29" i="11"/>
  <c r="O29" i="11"/>
  <c r="B154" i="11"/>
  <c r="J39" i="11"/>
  <c r="I62" i="11"/>
  <c r="O38" i="11"/>
  <c r="B152" i="11"/>
  <c r="B108" i="11"/>
  <c r="C62" i="11"/>
  <c r="J21" i="11"/>
  <c r="I52" i="11"/>
  <c r="B96" i="11"/>
  <c r="O39" i="11"/>
  <c r="J41" i="11"/>
  <c r="C166" i="11"/>
  <c r="K24" i="11"/>
  <c r="K55" i="11" s="1"/>
  <c r="J55" i="11"/>
  <c r="K22" i="11"/>
  <c r="K53" i="11" s="1"/>
  <c r="B75" i="11"/>
  <c r="B70" i="11"/>
  <c r="B71" i="11" s="1"/>
  <c r="H77" i="11"/>
  <c r="B284" i="9"/>
  <c r="B261" i="9" s="1"/>
  <c r="B96" i="9"/>
  <c r="B169" i="9" s="1"/>
  <c r="H173" i="9" s="1"/>
  <c r="K175" i="9"/>
  <c r="L175" i="9" s="1"/>
  <c r="L174" i="9"/>
  <c r="N44" i="9"/>
  <c r="B104" i="9" s="1"/>
  <c r="B143" i="9" s="1"/>
  <c r="D136" i="9"/>
  <c r="D162" i="9" s="1"/>
  <c r="O29" i="9"/>
  <c r="H161" i="9"/>
  <c r="O62" i="9"/>
  <c r="P62" i="9"/>
  <c r="N52" i="9"/>
  <c r="H157" i="9" s="1"/>
  <c r="O23" i="9"/>
  <c r="P23" i="9" s="1"/>
  <c r="Q23" i="9" s="1"/>
  <c r="I53" i="9"/>
  <c r="O24" i="9"/>
  <c r="P24" i="9" s="1"/>
  <c r="Q24" i="9" s="1"/>
  <c r="B108" i="9"/>
  <c r="B163" i="9" s="1"/>
  <c r="H167" i="9" s="1"/>
  <c r="H175" i="9"/>
  <c r="L172" i="9"/>
  <c r="C39" i="9"/>
  <c r="O36" i="9" s="1"/>
  <c r="I23" i="9"/>
  <c r="I54" i="9" s="1"/>
  <c r="H155" i="9"/>
  <c r="J58" i="9"/>
  <c r="P56" i="9" s="1"/>
  <c r="K29" i="9"/>
  <c r="K58" i="9" s="1"/>
  <c r="Q56" i="9" s="1"/>
  <c r="I58" i="9"/>
  <c r="O56" i="9" s="1"/>
  <c r="I24" i="9"/>
  <c r="I21" i="9"/>
  <c r="O21" i="9" s="1"/>
  <c r="N26" i="9" s="1"/>
  <c r="H158" i="9"/>
  <c r="O22" i="9"/>
  <c r="P22" i="9" s="1"/>
  <c r="Q22" i="9" s="1"/>
  <c r="C54" i="9"/>
  <c r="D21" i="9"/>
  <c r="E21" i="9" s="1"/>
  <c r="I25" i="9"/>
  <c r="J30" i="9"/>
  <c r="O30" i="9"/>
  <c r="I59" i="9"/>
  <c r="O57" i="9" s="1"/>
  <c r="Q62" i="9"/>
  <c r="B155" i="9"/>
  <c r="O39" i="9"/>
  <c r="J41" i="9"/>
  <c r="P37" i="9"/>
  <c r="E40" i="9"/>
  <c r="Q37" i="9" s="1"/>
  <c r="H60" i="9"/>
  <c r="B158" i="9"/>
  <c r="H162" i="9" s="1"/>
  <c r="I62" i="9"/>
  <c r="O38" i="9"/>
  <c r="J39" i="9"/>
  <c r="N62" i="9"/>
  <c r="D54" i="9"/>
  <c r="E23" i="9"/>
  <c r="E54" i="9" s="1"/>
  <c r="N51" i="9"/>
  <c r="B283" i="9" s="1"/>
  <c r="B56" i="9"/>
  <c r="B76" i="9" s="1"/>
  <c r="O37" i="9"/>
  <c r="C134" i="9"/>
  <c r="D24" i="9"/>
  <c r="C55" i="9"/>
  <c r="B58" i="9"/>
  <c r="N42" i="9"/>
  <c r="B141" i="9" s="1"/>
  <c r="O64" i="9"/>
  <c r="J66" i="9"/>
  <c r="P15" i="9"/>
  <c r="E65" i="9"/>
  <c r="D22" i="9"/>
  <c r="C53" i="9"/>
  <c r="O15" i="9"/>
  <c r="O16" i="9" s="1"/>
  <c r="C115" i="9" s="1"/>
  <c r="B156" i="9"/>
  <c r="H160" i="9" s="1"/>
  <c r="C166" i="9"/>
  <c r="I170" i="9" s="1"/>
  <c r="D62" i="9"/>
  <c r="O63" i="9"/>
  <c r="H69" i="9"/>
  <c r="J28" i="9"/>
  <c r="O28" i="9"/>
  <c r="N31" i="9" s="1"/>
  <c r="I57" i="9"/>
  <c r="O55" i="9" s="1"/>
  <c r="N41" i="9"/>
  <c r="B103" i="9" s="1"/>
  <c r="B140" i="9" s="1"/>
  <c r="B164" i="9" s="1"/>
  <c r="Q15" i="9"/>
  <c r="J53" i="9"/>
  <c r="K22" i="9"/>
  <c r="K53" i="9" s="1"/>
  <c r="B108" i="8"/>
  <c r="B120" i="8"/>
  <c r="B151" i="8" s="1"/>
  <c r="B155" i="8"/>
  <c r="B96" i="8"/>
  <c r="B68" i="8"/>
  <c r="B70" i="8" s="1"/>
  <c r="B71" i="8" s="1"/>
  <c r="N50" i="8"/>
  <c r="N58" i="8" s="1"/>
  <c r="N76" i="8" s="1"/>
  <c r="N44" i="8"/>
  <c r="B104" i="8" s="1"/>
  <c r="B143" i="8" s="1"/>
  <c r="B136" i="8"/>
  <c r="C136" i="8" s="1"/>
  <c r="D136" i="8" s="1"/>
  <c r="N43" i="8"/>
  <c r="B105" i="8" s="1"/>
  <c r="B142" i="8" s="1"/>
  <c r="B137" i="8"/>
  <c r="C137" i="8" s="1"/>
  <c r="D137" i="8" s="1"/>
  <c r="E137" i="8" s="1"/>
  <c r="N41" i="8"/>
  <c r="B103" i="8" s="1"/>
  <c r="B140" i="8" s="1"/>
  <c r="B134" i="8"/>
  <c r="N31" i="8"/>
  <c r="B127" i="8"/>
  <c r="B156" i="8" s="1"/>
  <c r="O24" i="8"/>
  <c r="P24" i="8" s="1"/>
  <c r="Q24" i="8" s="1"/>
  <c r="B123" i="8"/>
  <c r="B154" i="8" s="1"/>
  <c r="O22" i="8"/>
  <c r="P22" i="8" s="1"/>
  <c r="Q22" i="8" s="1"/>
  <c r="B121" i="8"/>
  <c r="O23" i="8"/>
  <c r="P23" i="8" s="1"/>
  <c r="Q23" i="8" s="1"/>
  <c r="B122" i="8"/>
  <c r="B153" i="8" s="1"/>
  <c r="P62" i="8"/>
  <c r="O62" i="8"/>
  <c r="O64" i="8"/>
  <c r="O63" i="8"/>
  <c r="Q62" i="8"/>
  <c r="D62" i="8"/>
  <c r="D65" i="8"/>
  <c r="B76" i="8"/>
  <c r="B74" i="8"/>
  <c r="B77" i="8"/>
  <c r="O55" i="8"/>
  <c r="O21" i="8"/>
  <c r="N26" i="8" s="1"/>
  <c r="N60" i="8"/>
  <c r="D40" i="8"/>
  <c r="J66" i="8"/>
  <c r="J41" i="8"/>
  <c r="O39" i="8"/>
  <c r="H69" i="8"/>
  <c r="C39" i="8"/>
  <c r="J52" i="8"/>
  <c r="I52" i="8"/>
  <c r="I40" i="8"/>
  <c r="J40" i="8" s="1"/>
  <c r="K40" i="8" s="1"/>
  <c r="I39" i="8"/>
  <c r="O38" i="8" s="1"/>
  <c r="H60" i="8"/>
  <c r="D24" i="8"/>
  <c r="C55" i="8"/>
  <c r="D22" i="8"/>
  <c r="C53" i="8"/>
  <c r="K28" i="8"/>
  <c r="J57" i="8"/>
  <c r="J22" i="8"/>
  <c r="I53" i="8"/>
  <c r="J25" i="8"/>
  <c r="P25" i="8" s="1"/>
  <c r="I56" i="8"/>
  <c r="O54" i="8" s="1"/>
  <c r="D21" i="8"/>
  <c r="P21" i="8" s="1"/>
  <c r="C52" i="8"/>
  <c r="J24" i="8"/>
  <c r="I55" i="8"/>
  <c r="J23" i="8"/>
  <c r="I54" i="8"/>
  <c r="D23" i="8"/>
  <c r="C54" i="8"/>
  <c r="O15" i="8"/>
  <c r="O16" i="8" s="1"/>
  <c r="C114" i="8" s="1"/>
  <c r="D15" i="8"/>
  <c r="N75" i="11" l="1"/>
  <c r="N74" i="11"/>
  <c r="C115" i="11"/>
  <c r="C125" i="11" s="1"/>
  <c r="C120" i="11" s="1"/>
  <c r="C151" i="11" s="1"/>
  <c r="N77" i="11"/>
  <c r="D115" i="11"/>
  <c r="D125" i="11" s="1"/>
  <c r="D130" i="11" s="1"/>
  <c r="B169" i="11"/>
  <c r="D23" i="11"/>
  <c r="D54" i="11" s="1"/>
  <c r="P52" i="11" s="1"/>
  <c r="D166" i="11"/>
  <c r="D39" i="11"/>
  <c r="O36" i="11"/>
  <c r="C58" i="11"/>
  <c r="O60" i="11" s="1"/>
  <c r="K41" i="11"/>
  <c r="Q39" i="11" s="1"/>
  <c r="P39" i="11"/>
  <c r="P38" i="11"/>
  <c r="K39" i="11"/>
  <c r="J62" i="11"/>
  <c r="D65" i="11"/>
  <c r="O64" i="11"/>
  <c r="K25" i="11"/>
  <c r="P25" i="11"/>
  <c r="J56" i="11"/>
  <c r="P54" i="11" s="1"/>
  <c r="K29" i="11"/>
  <c r="J58" i="11"/>
  <c r="P56" i="11" s="1"/>
  <c r="P29" i="11"/>
  <c r="Q16" i="11"/>
  <c r="C134" i="11"/>
  <c r="B164" i="11"/>
  <c r="I69" i="11"/>
  <c r="P21" i="11"/>
  <c r="E21" i="11"/>
  <c r="D52" i="11"/>
  <c r="N73" i="11"/>
  <c r="N67" i="11"/>
  <c r="N69" i="11" s="1"/>
  <c r="N70" i="11" s="1"/>
  <c r="C53" i="11"/>
  <c r="O51" i="11" s="1"/>
  <c r="D22" i="11"/>
  <c r="D162" i="11"/>
  <c r="E136" i="11"/>
  <c r="E162" i="11" s="1"/>
  <c r="I60" i="11"/>
  <c r="O50" i="11"/>
  <c r="D24" i="11"/>
  <c r="C55" i="11"/>
  <c r="O53" i="11" s="1"/>
  <c r="K59" i="11"/>
  <c r="Q57" i="11" s="1"/>
  <c r="Q30" i="11"/>
  <c r="J52" i="11"/>
  <c r="K21" i="11"/>
  <c r="K52" i="11" s="1"/>
  <c r="B153" i="11"/>
  <c r="B160" i="11" s="1"/>
  <c r="D62" i="11"/>
  <c r="O63" i="11"/>
  <c r="B163" i="11"/>
  <c r="D40" i="11"/>
  <c r="O37" i="11"/>
  <c r="B286" i="9"/>
  <c r="B260" i="9"/>
  <c r="B263" i="9" s="1"/>
  <c r="B162" i="9"/>
  <c r="J23" i="9"/>
  <c r="E136" i="9"/>
  <c r="E162" i="9" s="1"/>
  <c r="O52" i="9"/>
  <c r="N58" i="9"/>
  <c r="N75" i="9" s="1"/>
  <c r="H156" i="9"/>
  <c r="J21" i="9"/>
  <c r="P21" i="9" s="1"/>
  <c r="D39" i="9"/>
  <c r="E39" i="9" s="1"/>
  <c r="C58" i="9"/>
  <c r="O60" i="9" s="1"/>
  <c r="I166" i="9" s="1"/>
  <c r="O51" i="9"/>
  <c r="I52" i="9"/>
  <c r="O50" i="9" s="1"/>
  <c r="Q16" i="9"/>
  <c r="E115" i="9" s="1"/>
  <c r="E125" i="9" s="1"/>
  <c r="E130" i="9" s="1"/>
  <c r="H168" i="9"/>
  <c r="D52" i="9"/>
  <c r="Q29" i="9"/>
  <c r="J25" i="9"/>
  <c r="I56" i="9"/>
  <c r="O54" i="9" s="1"/>
  <c r="O25" i="9"/>
  <c r="I55" i="9"/>
  <c r="O53" i="9" s="1"/>
  <c r="J24" i="9"/>
  <c r="P16" i="9"/>
  <c r="D115" i="9" s="1"/>
  <c r="D125" i="9" s="1"/>
  <c r="D130" i="9" s="1"/>
  <c r="B160" i="9"/>
  <c r="B183" i="9" s="1"/>
  <c r="H159" i="9"/>
  <c r="P39" i="9"/>
  <c r="K41" i="9"/>
  <c r="Q39" i="9" s="1"/>
  <c r="C125" i="9"/>
  <c r="C114" i="9"/>
  <c r="B173" i="9"/>
  <c r="D134" i="9"/>
  <c r="C163" i="9"/>
  <c r="I167" i="9" s="1"/>
  <c r="C164" i="9"/>
  <c r="I168" i="9" s="1"/>
  <c r="B75" i="9"/>
  <c r="B77" i="9"/>
  <c r="I69" i="9"/>
  <c r="B68" i="9"/>
  <c r="B70" i="9" s="1"/>
  <c r="B71" i="9" s="1"/>
  <c r="B74" i="9"/>
  <c r="P64" i="9"/>
  <c r="K66" i="9"/>
  <c r="E24" i="9"/>
  <c r="E55" i="9" s="1"/>
  <c r="D55" i="9"/>
  <c r="H71" i="9"/>
  <c r="H72" i="9" s="1"/>
  <c r="H76" i="9"/>
  <c r="H77" i="9"/>
  <c r="K28" i="9"/>
  <c r="P28" i="9"/>
  <c r="J57" i="9"/>
  <c r="P55" i="9" s="1"/>
  <c r="C56" i="9"/>
  <c r="N60" i="9"/>
  <c r="P38" i="9"/>
  <c r="J62" i="9"/>
  <c r="K39" i="9"/>
  <c r="E52" i="9"/>
  <c r="D166" i="9"/>
  <c r="J170" i="9" s="1"/>
  <c r="K30" i="9"/>
  <c r="J59" i="9"/>
  <c r="P57" i="9" s="1"/>
  <c r="P30" i="9"/>
  <c r="E62" i="9"/>
  <c r="C291" i="9" s="1"/>
  <c r="P63" i="9"/>
  <c r="K23" i="9"/>
  <c r="K54" i="9" s="1"/>
  <c r="Q52" i="9" s="1"/>
  <c r="J54" i="9"/>
  <c r="P52" i="9" s="1"/>
  <c r="E22" i="9"/>
  <c r="E53" i="9" s="1"/>
  <c r="Q51" i="9" s="1"/>
  <c r="D53" i="9"/>
  <c r="P51" i="9" s="1"/>
  <c r="H75" i="9"/>
  <c r="B175" i="8"/>
  <c r="B163" i="8"/>
  <c r="P64" i="8"/>
  <c r="B169" i="8"/>
  <c r="C162" i="8"/>
  <c r="C134" i="8"/>
  <c r="B164" i="8"/>
  <c r="B162" i="8"/>
  <c r="P63" i="8"/>
  <c r="P15" i="8"/>
  <c r="P16" i="8" s="1"/>
  <c r="D115" i="8" s="1"/>
  <c r="N67" i="8"/>
  <c r="N69" i="8" s="1"/>
  <c r="N70" i="8" s="1"/>
  <c r="N73" i="8"/>
  <c r="E62" i="8"/>
  <c r="E65" i="8"/>
  <c r="N74" i="8"/>
  <c r="H76" i="8"/>
  <c r="H77" i="8"/>
  <c r="H75" i="8"/>
  <c r="P55" i="8"/>
  <c r="N77" i="8"/>
  <c r="O52" i="8"/>
  <c r="O50" i="8"/>
  <c r="K41" i="8"/>
  <c r="Q39" i="8" s="1"/>
  <c r="P39" i="8"/>
  <c r="O37" i="8"/>
  <c r="O53" i="8"/>
  <c r="O51" i="8"/>
  <c r="E40" i="8"/>
  <c r="Q37" i="8" s="1"/>
  <c r="P37" i="8"/>
  <c r="C58" i="8"/>
  <c r="O36" i="8"/>
  <c r="K66" i="8"/>
  <c r="K57" i="8"/>
  <c r="Q28" i="8"/>
  <c r="D39" i="8"/>
  <c r="P36" i="8" s="1"/>
  <c r="J39" i="8"/>
  <c r="P38" i="8" s="1"/>
  <c r="I62" i="8"/>
  <c r="H71" i="8"/>
  <c r="H72" i="8" s="1"/>
  <c r="E15" i="8"/>
  <c r="I60" i="8"/>
  <c r="C56" i="8"/>
  <c r="K23" i="8"/>
  <c r="K54" i="8" s="1"/>
  <c r="J54" i="8"/>
  <c r="K24" i="8"/>
  <c r="K55" i="8" s="1"/>
  <c r="J55" i="8"/>
  <c r="E21" i="8"/>
  <c r="D52" i="8"/>
  <c r="P50" i="8" s="1"/>
  <c r="K22" i="8"/>
  <c r="K53" i="8" s="1"/>
  <c r="J53" i="8"/>
  <c r="E23" i="8"/>
  <c r="E54" i="8" s="1"/>
  <c r="D54" i="8"/>
  <c r="E22" i="8"/>
  <c r="E53" i="8" s="1"/>
  <c r="D53" i="8"/>
  <c r="K25" i="8"/>
  <c r="J56" i="8"/>
  <c r="P54" i="8" s="1"/>
  <c r="E24" i="8"/>
  <c r="E55" i="8" s="1"/>
  <c r="D55" i="8"/>
  <c r="C114" i="11" l="1"/>
  <c r="C122" i="11"/>
  <c r="C153" i="11" s="1"/>
  <c r="B173" i="11"/>
  <c r="B188" i="11" s="1"/>
  <c r="E23" i="11"/>
  <c r="E54" i="11" s="1"/>
  <c r="Q52" i="11" s="1"/>
  <c r="C123" i="11"/>
  <c r="D123" i="11" s="1"/>
  <c r="E115" i="11"/>
  <c r="E125" i="11" s="1"/>
  <c r="E130" i="11" s="1"/>
  <c r="C121" i="11"/>
  <c r="C124" i="11"/>
  <c r="C155" i="11" s="1"/>
  <c r="D114" i="11"/>
  <c r="C130" i="11"/>
  <c r="C129" i="11" s="1"/>
  <c r="B175" i="11"/>
  <c r="B176" i="11" s="1"/>
  <c r="B187" i="11"/>
  <c r="B189" i="11" s="1"/>
  <c r="B182" i="11"/>
  <c r="B183" i="11"/>
  <c r="B180" i="11"/>
  <c r="B179" i="11"/>
  <c r="Q29" i="11"/>
  <c r="K58" i="11"/>
  <c r="Q56" i="11" s="1"/>
  <c r="Q21" i="11"/>
  <c r="E52" i="11"/>
  <c r="K62" i="11"/>
  <c r="Q38" i="11"/>
  <c r="P37" i="11"/>
  <c r="E40" i="11"/>
  <c r="Q37" i="11" s="1"/>
  <c r="O67" i="11"/>
  <c r="E24" i="11"/>
  <c r="E55" i="11" s="1"/>
  <c r="Q53" i="11" s="1"/>
  <c r="D55" i="11"/>
  <c r="P53" i="11" s="1"/>
  <c r="J69" i="11"/>
  <c r="P36" i="11"/>
  <c r="D58" i="11"/>
  <c r="P60" i="11" s="1"/>
  <c r="E39" i="11"/>
  <c r="O58" i="11"/>
  <c r="O73" i="11" s="1"/>
  <c r="C56" i="11"/>
  <c r="C74" i="11" s="1"/>
  <c r="P50" i="11"/>
  <c r="E166" i="11"/>
  <c r="I71" i="11"/>
  <c r="I72" i="11" s="1"/>
  <c r="I77" i="11"/>
  <c r="I76" i="11"/>
  <c r="J60" i="11"/>
  <c r="B181" i="11"/>
  <c r="K56" i="11"/>
  <c r="Q54" i="11" s="1"/>
  <c r="Q25" i="11"/>
  <c r="E62" i="11"/>
  <c r="P63" i="11"/>
  <c r="D134" i="11"/>
  <c r="C163" i="11"/>
  <c r="C164" i="11"/>
  <c r="D53" i="11"/>
  <c r="P51" i="11" s="1"/>
  <c r="E22" i="11"/>
  <c r="E53" i="11" s="1"/>
  <c r="Q51" i="11" s="1"/>
  <c r="I75" i="11"/>
  <c r="D120" i="11"/>
  <c r="E65" i="11"/>
  <c r="P64" i="11"/>
  <c r="C68" i="11"/>
  <c r="B180" i="8"/>
  <c r="B183" i="8"/>
  <c r="B181" i="8"/>
  <c r="H166" i="9"/>
  <c r="J52" i="9"/>
  <c r="C297" i="9"/>
  <c r="C274" i="9" s="1"/>
  <c r="C268" i="9"/>
  <c r="H164" i="9"/>
  <c r="K21" i="9"/>
  <c r="K52" i="9" s="1"/>
  <c r="Q50" i="9" s="1"/>
  <c r="N76" i="9"/>
  <c r="N77" i="9"/>
  <c r="H177" i="9"/>
  <c r="N74" i="9"/>
  <c r="D58" i="9"/>
  <c r="D68" i="9" s="1"/>
  <c r="P36" i="9"/>
  <c r="C68" i="9"/>
  <c r="C70" i="9" s="1"/>
  <c r="C71" i="9" s="1"/>
  <c r="C74" i="9"/>
  <c r="O58" i="9"/>
  <c r="O75" i="9" s="1"/>
  <c r="I60" i="9"/>
  <c r="I75" i="9" s="1"/>
  <c r="J56" i="9"/>
  <c r="P54" i="9" s="1"/>
  <c r="P25" i="9"/>
  <c r="K25" i="9"/>
  <c r="B182" i="9"/>
  <c r="B187" i="9"/>
  <c r="D114" i="9"/>
  <c r="E114" i="9" s="1"/>
  <c r="B180" i="9"/>
  <c r="J55" i="9"/>
  <c r="K24" i="9"/>
  <c r="K55" i="9" s="1"/>
  <c r="Q53" i="9" s="1"/>
  <c r="B181" i="9"/>
  <c r="B179" i="9"/>
  <c r="C130" i="9"/>
  <c r="C120" i="9"/>
  <c r="K59" i="9"/>
  <c r="Q57" i="9" s="1"/>
  <c r="Q30" i="9"/>
  <c r="J69" i="9"/>
  <c r="Q28" i="9"/>
  <c r="K57" i="9"/>
  <c r="Q55" i="9" s="1"/>
  <c r="D56" i="9"/>
  <c r="E166" i="9"/>
  <c r="K170" i="9" s="1"/>
  <c r="L170" i="9" s="1"/>
  <c r="C121" i="9"/>
  <c r="C123" i="9"/>
  <c r="C122" i="9"/>
  <c r="C124" i="9"/>
  <c r="D163" i="9"/>
  <c r="J167" i="9" s="1"/>
  <c r="E134" i="9"/>
  <c r="D164" i="9"/>
  <c r="J168" i="9" s="1"/>
  <c r="Q64" i="9"/>
  <c r="B175" i="9"/>
  <c r="B176" i="9" s="1"/>
  <c r="O67" i="9"/>
  <c r="Q63" i="9"/>
  <c r="N73" i="9"/>
  <c r="N67" i="9"/>
  <c r="N69" i="9" s="1"/>
  <c r="N70" i="9" s="1"/>
  <c r="C75" i="9"/>
  <c r="C76" i="9"/>
  <c r="C77" i="9"/>
  <c r="E56" i="9"/>
  <c r="K62" i="9"/>
  <c r="Q38" i="9"/>
  <c r="Q36" i="9"/>
  <c r="E58" i="9"/>
  <c r="P50" i="9"/>
  <c r="B173" i="8"/>
  <c r="B188" i="8" s="1"/>
  <c r="B187" i="8"/>
  <c r="B189" i="8" s="1"/>
  <c r="B182" i="8"/>
  <c r="C124" i="8"/>
  <c r="C122" i="8"/>
  <c r="C153" i="8" s="1"/>
  <c r="C121" i="8"/>
  <c r="C152" i="8" s="1"/>
  <c r="E136" i="8"/>
  <c r="E162" i="8" s="1"/>
  <c r="D162" i="8"/>
  <c r="D134" i="8"/>
  <c r="D163" i="8" s="1"/>
  <c r="B176" i="8"/>
  <c r="D114" i="8"/>
  <c r="D125" i="8"/>
  <c r="D130" i="8" s="1"/>
  <c r="C123" i="8"/>
  <c r="Q64" i="8"/>
  <c r="Q63" i="8"/>
  <c r="I76" i="8"/>
  <c r="I77" i="8"/>
  <c r="Q15" i="8"/>
  <c r="I75" i="8"/>
  <c r="C74" i="8"/>
  <c r="C77" i="8"/>
  <c r="C76" i="8"/>
  <c r="C75" i="8"/>
  <c r="Q55" i="8"/>
  <c r="Q52" i="8"/>
  <c r="P52" i="8"/>
  <c r="D58" i="8"/>
  <c r="E39" i="8"/>
  <c r="E58" i="8" s="1"/>
  <c r="O58" i="8"/>
  <c r="Q51" i="8"/>
  <c r="P53" i="8"/>
  <c r="Q53" i="8"/>
  <c r="I69" i="8"/>
  <c r="O60" i="8"/>
  <c r="C68" i="8"/>
  <c r="C70" i="8" s="1"/>
  <c r="P51" i="8"/>
  <c r="K56" i="8"/>
  <c r="Q54" i="8" s="1"/>
  <c r="Q25" i="8"/>
  <c r="E52" i="8"/>
  <c r="Q50" i="8" s="1"/>
  <c r="Q21" i="8"/>
  <c r="K39" i="8"/>
  <c r="J62" i="8"/>
  <c r="J60" i="8"/>
  <c r="D56" i="8"/>
  <c r="D122" i="11" l="1"/>
  <c r="E122" i="11" s="1"/>
  <c r="E153" i="11" s="1"/>
  <c r="C154" i="11"/>
  <c r="E114" i="11"/>
  <c r="C128" i="11"/>
  <c r="D128" i="11" s="1"/>
  <c r="C127" i="11"/>
  <c r="C156" i="11" s="1"/>
  <c r="D124" i="11"/>
  <c r="E124" i="11" s="1"/>
  <c r="E155" i="11" s="1"/>
  <c r="C152" i="11"/>
  <c r="D121" i="11"/>
  <c r="K60" i="11"/>
  <c r="K76" i="11" s="1"/>
  <c r="O74" i="11"/>
  <c r="P58" i="11"/>
  <c r="P75" i="11" s="1"/>
  <c r="Q63" i="11"/>
  <c r="K77" i="11"/>
  <c r="E56" i="11"/>
  <c r="Q50" i="11"/>
  <c r="Q58" i="11" s="1"/>
  <c r="J71" i="11"/>
  <c r="J72" i="11" s="1"/>
  <c r="J77" i="11"/>
  <c r="J76" i="11"/>
  <c r="D153" i="11"/>
  <c r="C70" i="11"/>
  <c r="C71" i="11" s="1"/>
  <c r="C76" i="11"/>
  <c r="C77" i="11"/>
  <c r="C75" i="11"/>
  <c r="J75" i="11"/>
  <c r="K69" i="11"/>
  <c r="D154" i="11"/>
  <c r="E123" i="11"/>
  <c r="E154" i="11" s="1"/>
  <c r="P67" i="11"/>
  <c r="P69" i="11" s="1"/>
  <c r="P70" i="11" s="1"/>
  <c r="Q64" i="11"/>
  <c r="C158" i="11"/>
  <c r="D129" i="11"/>
  <c r="D151" i="11"/>
  <c r="E120" i="11"/>
  <c r="O69" i="11"/>
  <c r="O70" i="11" s="1"/>
  <c r="O77" i="11"/>
  <c r="O75" i="11"/>
  <c r="O76" i="11"/>
  <c r="D163" i="11"/>
  <c r="D164" i="11"/>
  <c r="E134" i="11"/>
  <c r="Q36" i="11"/>
  <c r="E58" i="11"/>
  <c r="D68" i="11"/>
  <c r="D56" i="11"/>
  <c r="P60" i="9"/>
  <c r="J166" i="9" s="1"/>
  <c r="I76" i="9"/>
  <c r="Q21" i="9"/>
  <c r="I77" i="9"/>
  <c r="C283" i="9"/>
  <c r="C260" i="9" s="1"/>
  <c r="D74" i="9"/>
  <c r="O73" i="9"/>
  <c r="O69" i="9"/>
  <c r="O70" i="9" s="1"/>
  <c r="I71" i="9"/>
  <c r="I72" i="9" s="1"/>
  <c r="O77" i="9"/>
  <c r="O76" i="9"/>
  <c r="O74" i="9"/>
  <c r="J60" i="9"/>
  <c r="J75" i="9" s="1"/>
  <c r="Q25" i="9"/>
  <c r="K56" i="9"/>
  <c r="P53" i="9"/>
  <c r="P58" i="9" s="1"/>
  <c r="C155" i="9"/>
  <c r="I159" i="9" s="1"/>
  <c r="D124" i="9"/>
  <c r="E74" i="9"/>
  <c r="E68" i="9"/>
  <c r="E70" i="9" s="1"/>
  <c r="E71" i="9" s="1"/>
  <c r="E164" i="9"/>
  <c r="K168" i="9" s="1"/>
  <c r="L168" i="9" s="1"/>
  <c r="E163" i="9"/>
  <c r="K167" i="9" s="1"/>
  <c r="L167" i="9" s="1"/>
  <c r="P67" i="9"/>
  <c r="E76" i="9"/>
  <c r="E75" i="9"/>
  <c r="E77" i="9"/>
  <c r="C154" i="9"/>
  <c r="I158" i="9" s="1"/>
  <c r="D123" i="9"/>
  <c r="B188" i="9"/>
  <c r="B189" i="9" s="1"/>
  <c r="D122" i="9"/>
  <c r="C153" i="9"/>
  <c r="I157" i="9" s="1"/>
  <c r="C151" i="9"/>
  <c r="I155" i="9" s="1"/>
  <c r="D120" i="9"/>
  <c r="C152" i="9"/>
  <c r="I156" i="9" s="1"/>
  <c r="D121" i="9"/>
  <c r="K69" i="9"/>
  <c r="Q60" i="9"/>
  <c r="K166" i="9" s="1"/>
  <c r="L166" i="9" s="1"/>
  <c r="C128" i="9"/>
  <c r="C127" i="9"/>
  <c r="C129" i="9"/>
  <c r="D70" i="9"/>
  <c r="D71" i="9" s="1"/>
  <c r="D76" i="9"/>
  <c r="D75" i="9"/>
  <c r="D77" i="9"/>
  <c r="D122" i="8"/>
  <c r="D153" i="8" s="1"/>
  <c r="D121" i="8"/>
  <c r="D152" i="8" s="1"/>
  <c r="E134" i="8"/>
  <c r="D164" i="8"/>
  <c r="D123" i="8"/>
  <c r="D154" i="8" s="1"/>
  <c r="C154" i="8"/>
  <c r="D124" i="8"/>
  <c r="D155" i="8" s="1"/>
  <c r="C155" i="8"/>
  <c r="D120" i="8"/>
  <c r="C128" i="8"/>
  <c r="C129" i="8"/>
  <c r="C127" i="8"/>
  <c r="E114" i="8"/>
  <c r="E125" i="8"/>
  <c r="E130" i="8" s="1"/>
  <c r="O76" i="8"/>
  <c r="O77" i="8"/>
  <c r="O74" i="8"/>
  <c r="O75" i="8"/>
  <c r="O73" i="8"/>
  <c r="J77" i="8"/>
  <c r="J76" i="8"/>
  <c r="Q36" i="8"/>
  <c r="J75" i="8"/>
  <c r="O67" i="8"/>
  <c r="O69" i="8" s="1"/>
  <c r="O70" i="8" s="1"/>
  <c r="D76" i="8"/>
  <c r="D77" i="8"/>
  <c r="D75" i="8"/>
  <c r="D68" i="8"/>
  <c r="D70" i="8" s="1"/>
  <c r="D74" i="8"/>
  <c r="K60" i="8"/>
  <c r="E56" i="8"/>
  <c r="P58" i="8"/>
  <c r="I71" i="8"/>
  <c r="I72" i="8" s="1"/>
  <c r="Q58" i="8"/>
  <c r="J69" i="8"/>
  <c r="J71" i="8" s="1"/>
  <c r="J72" i="8" s="1"/>
  <c r="P60" i="8"/>
  <c r="E68" i="8"/>
  <c r="K62" i="8"/>
  <c r="Q38" i="8"/>
  <c r="C169" i="11" l="1"/>
  <c r="C173" i="11" s="1"/>
  <c r="C188" i="11" s="1"/>
  <c r="D127" i="11"/>
  <c r="D169" i="11" s="1"/>
  <c r="D173" i="11" s="1"/>
  <c r="D188" i="11" s="1"/>
  <c r="D155" i="11"/>
  <c r="C157" i="11"/>
  <c r="P73" i="11"/>
  <c r="P74" i="11"/>
  <c r="K75" i="11"/>
  <c r="K71" i="11"/>
  <c r="K72" i="11" s="1"/>
  <c r="D152" i="11"/>
  <c r="E121" i="11"/>
  <c r="E152" i="11" s="1"/>
  <c r="P76" i="11"/>
  <c r="P77" i="11"/>
  <c r="C160" i="11"/>
  <c r="C181" i="11" s="1"/>
  <c r="E151" i="11"/>
  <c r="D156" i="11"/>
  <c r="E127" i="11"/>
  <c r="E156" i="11" s="1"/>
  <c r="Q75" i="11"/>
  <c r="E76" i="11"/>
  <c r="E74" i="11"/>
  <c r="E68" i="11"/>
  <c r="E70" i="11" s="1"/>
  <c r="E71" i="11" s="1"/>
  <c r="D157" i="11"/>
  <c r="E128" i="11"/>
  <c r="E157" i="11" s="1"/>
  <c r="D70" i="11"/>
  <c r="D71" i="11" s="1"/>
  <c r="D76" i="11"/>
  <c r="D75" i="11"/>
  <c r="D77" i="11"/>
  <c r="D158" i="11"/>
  <c r="E129" i="11"/>
  <c r="E158" i="11" s="1"/>
  <c r="Q77" i="11"/>
  <c r="D74" i="11"/>
  <c r="E164" i="11"/>
  <c r="E163" i="11"/>
  <c r="Q60" i="11"/>
  <c r="Q74" i="11"/>
  <c r="Q76" i="11"/>
  <c r="E75" i="11"/>
  <c r="E77" i="11"/>
  <c r="J71" i="9"/>
  <c r="J72" i="9" s="1"/>
  <c r="J77" i="9"/>
  <c r="P74" i="9"/>
  <c r="P77" i="9"/>
  <c r="J76" i="9"/>
  <c r="P73" i="9"/>
  <c r="P75" i="9"/>
  <c r="P76" i="9"/>
  <c r="Q54" i="9"/>
  <c r="K60" i="9"/>
  <c r="K71" i="9" s="1"/>
  <c r="K72" i="9" s="1"/>
  <c r="P69" i="9"/>
  <c r="P70" i="9" s="1"/>
  <c r="D152" i="9"/>
  <c r="J156" i="9" s="1"/>
  <c r="E121" i="9"/>
  <c r="E152" i="9" s="1"/>
  <c r="K156" i="9" s="1"/>
  <c r="D153" i="9"/>
  <c r="J157" i="9" s="1"/>
  <c r="E122" i="9"/>
  <c r="E153" i="9" s="1"/>
  <c r="K157" i="9" s="1"/>
  <c r="E124" i="9"/>
  <c r="E155" i="9" s="1"/>
  <c r="D155" i="9"/>
  <c r="J159" i="9" s="1"/>
  <c r="E120" i="9"/>
  <c r="D151" i="9"/>
  <c r="J155" i="9" s="1"/>
  <c r="C156" i="9"/>
  <c r="I160" i="9" s="1"/>
  <c r="D127" i="9"/>
  <c r="D128" i="9"/>
  <c r="C157" i="9"/>
  <c r="C158" i="9"/>
  <c r="I162" i="9" s="1"/>
  <c r="D129" i="9"/>
  <c r="D154" i="9"/>
  <c r="J158" i="9" s="1"/>
  <c r="E123" i="9"/>
  <c r="E154" i="9" s="1"/>
  <c r="K158" i="9" s="1"/>
  <c r="C169" i="9"/>
  <c r="I173" i="9" s="1"/>
  <c r="Q67" i="9"/>
  <c r="E164" i="8"/>
  <c r="E163" i="8"/>
  <c r="C169" i="8"/>
  <c r="C173" i="8" s="1"/>
  <c r="C188" i="8" s="1"/>
  <c r="D151" i="8"/>
  <c r="D127" i="8"/>
  <c r="D156" i="8" s="1"/>
  <c r="C156" i="8"/>
  <c r="D129" i="8"/>
  <c r="D158" i="8" s="1"/>
  <c r="C158" i="8"/>
  <c r="D128" i="8"/>
  <c r="D157" i="8" s="1"/>
  <c r="C157" i="8"/>
  <c r="E123" i="8"/>
  <c r="E154" i="8" s="1"/>
  <c r="E120" i="8"/>
  <c r="E122" i="8"/>
  <c r="E153" i="8" s="1"/>
  <c r="E121" i="8"/>
  <c r="E152" i="8" s="1"/>
  <c r="E124" i="8"/>
  <c r="E155" i="8" s="1"/>
  <c r="P73" i="8"/>
  <c r="P75" i="8"/>
  <c r="P74" i="8"/>
  <c r="P76" i="8"/>
  <c r="P77" i="8"/>
  <c r="Q75" i="8"/>
  <c r="Q74" i="8"/>
  <c r="Q76" i="8"/>
  <c r="Q77" i="8"/>
  <c r="K77" i="8"/>
  <c r="K76" i="8"/>
  <c r="E70" i="8"/>
  <c r="K75" i="8"/>
  <c r="P67" i="8"/>
  <c r="P69" i="8" s="1"/>
  <c r="P70" i="8" s="1"/>
  <c r="E76" i="8"/>
  <c r="E75" i="8"/>
  <c r="E77" i="8"/>
  <c r="E74" i="8"/>
  <c r="K69" i="8"/>
  <c r="Q60" i="8"/>
  <c r="Q73" i="8" s="1"/>
  <c r="C183" i="11" l="1"/>
  <c r="C182" i="11"/>
  <c r="C180" i="11"/>
  <c r="C179" i="11"/>
  <c r="C187" i="11"/>
  <c r="C189" i="11" s="1"/>
  <c r="D160" i="11"/>
  <c r="D175" i="11" s="1"/>
  <c r="D176" i="11" s="1"/>
  <c r="Q73" i="11"/>
  <c r="Q67" i="11"/>
  <c r="Q69" i="11" s="1"/>
  <c r="Q70" i="11" s="1"/>
  <c r="C175" i="11"/>
  <c r="C176" i="11" s="1"/>
  <c r="E160" i="11"/>
  <c r="E181" i="11" s="1"/>
  <c r="E169" i="11"/>
  <c r="E173" i="11" s="1"/>
  <c r="Q58" i="9"/>
  <c r="Q73" i="9" s="1"/>
  <c r="C284" i="9"/>
  <c r="D169" i="9"/>
  <c r="J173" i="9" s="1"/>
  <c r="J177" i="9" s="1"/>
  <c r="Q75" i="9"/>
  <c r="Q77" i="9"/>
  <c r="Q74" i="9"/>
  <c r="Q76" i="9"/>
  <c r="K75" i="9"/>
  <c r="K77" i="9"/>
  <c r="K76" i="9"/>
  <c r="K159" i="9"/>
  <c r="L159" i="9" s="1"/>
  <c r="Q69" i="9"/>
  <c r="Q70" i="9" s="1"/>
  <c r="L156" i="9"/>
  <c r="L158" i="9"/>
  <c r="L157" i="9"/>
  <c r="I177" i="9"/>
  <c r="C160" i="9"/>
  <c r="C181" i="9" s="1"/>
  <c r="I161" i="9"/>
  <c r="I164" i="9" s="1"/>
  <c r="C173" i="9"/>
  <c r="C188" i="9" s="1"/>
  <c r="D158" i="9"/>
  <c r="J162" i="9" s="1"/>
  <c r="E129" i="9"/>
  <c r="E158" i="9" s="1"/>
  <c r="K162" i="9" s="1"/>
  <c r="E151" i="9"/>
  <c r="K155" i="9" s="1"/>
  <c r="L155" i="9" s="1"/>
  <c r="E128" i="9"/>
  <c r="E157" i="9" s="1"/>
  <c r="K161" i="9" s="1"/>
  <c r="D157" i="9"/>
  <c r="J161" i="9" s="1"/>
  <c r="D156" i="9"/>
  <c r="J160" i="9" s="1"/>
  <c r="E127" i="9"/>
  <c r="E156" i="9" s="1"/>
  <c r="K160" i="9" s="1"/>
  <c r="C160" i="8"/>
  <c r="E127" i="8"/>
  <c r="E156" i="8" s="1"/>
  <c r="D160" i="8"/>
  <c r="D183" i="8" s="1"/>
  <c r="D169" i="8"/>
  <c r="E151" i="8"/>
  <c r="E128" i="8"/>
  <c r="E157" i="8" s="1"/>
  <c r="E129" i="8"/>
  <c r="E158" i="8" s="1"/>
  <c r="Q67" i="8"/>
  <c r="Q69" i="8" s="1"/>
  <c r="Q70" i="8" s="1"/>
  <c r="K71" i="8"/>
  <c r="K72" i="8" s="1"/>
  <c r="C187" i="8" l="1"/>
  <c r="C189" i="8" s="1"/>
  <c r="D182" i="11"/>
  <c r="D181" i="11"/>
  <c r="D183" i="11"/>
  <c r="D179" i="11"/>
  <c r="D180" i="11"/>
  <c r="D187" i="11"/>
  <c r="D189" i="11" s="1"/>
  <c r="E183" i="11"/>
  <c r="E180" i="11"/>
  <c r="E188" i="11"/>
  <c r="F188" i="11" s="1"/>
  <c r="J138" i="11" s="1"/>
  <c r="E187" i="11"/>
  <c r="E175" i="11"/>
  <c r="E176" i="11" s="1"/>
  <c r="E179" i="11"/>
  <c r="E182" i="11"/>
  <c r="C286" i="9"/>
  <c r="C263" i="9" s="1"/>
  <c r="C261" i="9"/>
  <c r="D173" i="9"/>
  <c r="D188" i="9" s="1"/>
  <c r="C183" i="9"/>
  <c r="C180" i="9"/>
  <c r="C182" i="9"/>
  <c r="C179" i="9"/>
  <c r="C187" i="9"/>
  <c r="C189" i="9" s="1"/>
  <c r="E169" i="9"/>
  <c r="L162" i="9"/>
  <c r="K164" i="9"/>
  <c r="J164" i="9"/>
  <c r="L160" i="9"/>
  <c r="L161" i="9"/>
  <c r="D160" i="9"/>
  <c r="E160" i="9"/>
  <c r="C175" i="9"/>
  <c r="C176" i="9" s="1"/>
  <c r="C183" i="8"/>
  <c r="C182" i="8"/>
  <c r="C181" i="8"/>
  <c r="D173" i="8"/>
  <c r="D175" i="8" s="1"/>
  <c r="D176" i="8" s="1"/>
  <c r="D180" i="8"/>
  <c r="E160" i="8"/>
  <c r="E181" i="8" s="1"/>
  <c r="D187" i="8"/>
  <c r="D182" i="8"/>
  <c r="C179" i="8"/>
  <c r="C180" i="8"/>
  <c r="E169" i="8"/>
  <c r="D181" i="8"/>
  <c r="C175" i="8"/>
  <c r="C176" i="8" s="1"/>
  <c r="D179" i="8"/>
  <c r="E189" i="11" l="1"/>
  <c r="F187" i="11"/>
  <c r="M155" i="9"/>
  <c r="L164" i="9"/>
  <c r="E173" i="9"/>
  <c r="E188" i="9" s="1"/>
  <c r="F188" i="9" s="1"/>
  <c r="K173" i="9"/>
  <c r="E187" i="9"/>
  <c r="E189" i="9" s="1"/>
  <c r="E175" i="9"/>
  <c r="E176" i="9" s="1"/>
  <c r="E179" i="9"/>
  <c r="E182" i="9"/>
  <c r="E181" i="9"/>
  <c r="D175" i="9"/>
  <c r="D176" i="9" s="1"/>
  <c r="D187" i="9"/>
  <c r="D179" i="9"/>
  <c r="D182" i="9"/>
  <c r="D181" i="9"/>
  <c r="D180" i="9"/>
  <c r="E180" i="9"/>
  <c r="E183" i="9"/>
  <c r="D183" i="9"/>
  <c r="D188" i="8"/>
  <c r="D189" i="8" s="1"/>
  <c r="E173" i="8"/>
  <c r="E188" i="8" s="1"/>
  <c r="F188" i="8" s="1"/>
  <c r="E179" i="8"/>
  <c r="E187" i="8"/>
  <c r="E182" i="8"/>
  <c r="E180" i="8"/>
  <c r="E183" i="8"/>
  <c r="E71" i="8"/>
  <c r="D71" i="8"/>
  <c r="C71" i="8"/>
  <c r="F189" i="11" l="1"/>
  <c r="L138" i="11" s="1"/>
  <c r="H138" i="11"/>
  <c r="K177" i="9"/>
  <c r="L177" i="9" s="1"/>
  <c r="L173" i="9"/>
  <c r="D189" i="9"/>
  <c r="F187" i="9"/>
  <c r="F189" i="9" s="1"/>
  <c r="E175" i="8"/>
  <c r="E176" i="8" s="1"/>
  <c r="E189" i="8"/>
  <c r="F187" i="8"/>
  <c r="F189" i="8" s="1"/>
</calcChain>
</file>

<file path=xl/sharedStrings.xml><?xml version="1.0" encoding="utf-8"?>
<sst xmlns="http://schemas.openxmlformats.org/spreadsheetml/2006/main" count="1127" uniqueCount="212">
  <si>
    <t>Revenues</t>
  </si>
  <si>
    <t>EBITDA</t>
  </si>
  <si>
    <t>EBITDA Margin %</t>
  </si>
  <si>
    <t>= inputs</t>
  </si>
  <si>
    <t>= output</t>
  </si>
  <si>
    <t>KPIs</t>
  </si>
  <si>
    <t>Baseline scenario (w/o synergies)</t>
  </si>
  <si>
    <t>Integrated company (with synergies)</t>
  </si>
  <si>
    <t>Costs</t>
  </si>
  <si>
    <t>Visionary Pulse - Synergies [€]</t>
  </si>
  <si>
    <t>Cumulative</t>
  </si>
  <si>
    <t>TOTAL</t>
  </si>
  <si>
    <t>Total clients [#]</t>
  </si>
  <si>
    <t>YoY Growth (Total clients)</t>
  </si>
  <si>
    <t>Staff Cost as % of Revenue [%]</t>
  </si>
  <si>
    <t>Routine Check-ups</t>
  </si>
  <si>
    <t>Basic surgeries</t>
  </si>
  <si>
    <t>Specialist check-ups</t>
  </si>
  <si>
    <t>Soecialist surgeries</t>
  </si>
  <si>
    <t>TOT.</t>
  </si>
  <si>
    <t>Inputs</t>
  </si>
  <si>
    <t>PetCare</t>
  </si>
  <si>
    <t># of clients (2024)</t>
  </si>
  <si>
    <t>Type of service</t>
  </si>
  <si>
    <t>Routine check-ups</t>
  </si>
  <si>
    <t># of treatments</t>
  </si>
  <si>
    <t>Specialist surgeries</t>
  </si>
  <si>
    <t>Price (€)</t>
  </si>
  <si>
    <t>VetWell</t>
  </si>
  <si>
    <t>Spa treatments</t>
  </si>
  <si>
    <t>Home visit consultations</t>
  </si>
  <si>
    <t>Remote consultations</t>
  </si>
  <si>
    <t>Nutritional check up and personalized dog fresh food supply</t>
  </si>
  <si>
    <t>Type of Cost</t>
  </si>
  <si>
    <t>€</t>
  </si>
  <si>
    <t>Labour</t>
  </si>
  <si>
    <t>Training</t>
  </si>
  <si>
    <t>Service</t>
  </si>
  <si>
    <t>Materials</t>
  </si>
  <si>
    <t>Marketing &amp; communication</t>
  </si>
  <si>
    <t>IT service</t>
  </si>
  <si>
    <t>CAGR (2022-2024)</t>
  </si>
  <si>
    <t>Third party professionals</t>
  </si>
  <si>
    <t>Booking services</t>
  </si>
  <si>
    <t>Other general services</t>
  </si>
  <si>
    <t xml:space="preserve">Service </t>
  </si>
  <si>
    <t>of which: 80% Third party professionals</t>
  </si>
  <si>
    <t>2,5% Booking services</t>
  </si>
  <si>
    <t>17,5% Other general services</t>
  </si>
  <si>
    <t>Module II: Post Merger Integration</t>
  </si>
  <si>
    <t>Case Study: PetCare acquires VetWell</t>
  </si>
  <si>
    <t>VetWell - Clients</t>
  </si>
  <si>
    <t>PetCare + VetWell - Clients</t>
  </si>
  <si>
    <t>PetCare - Clients</t>
  </si>
  <si>
    <t>PetCare - Treatments</t>
  </si>
  <si>
    <t># of Treatments</t>
  </si>
  <si>
    <t>YoY Growth (Treatments)</t>
  </si>
  <si>
    <t>&gt;&gt;&gt; Assumption: "Standard" treatment demand grows consistently with the customer base</t>
  </si>
  <si>
    <t>YoY Growth (Standard Treatments)</t>
  </si>
  <si>
    <t>YoY Growth (Special Treatments)</t>
  </si>
  <si>
    <r>
      <t xml:space="preserve">&gt;&gt;&gt; Assumption: "Standard" treatment demand grows </t>
    </r>
    <r>
      <rPr>
        <b/>
        <sz val="11"/>
        <color theme="1"/>
        <rFont val="Work Sans"/>
        <scheme val="minor"/>
      </rPr>
      <t>consistently</t>
    </r>
    <r>
      <rPr>
        <sz val="11"/>
        <color theme="1"/>
        <rFont val="Work Sans"/>
        <scheme val="minor"/>
      </rPr>
      <t xml:space="preserve"> with the customer base</t>
    </r>
  </si>
  <si>
    <r>
      <t xml:space="preserve">&gt;&gt;&gt; Assumption: "Special" treatment demand grows </t>
    </r>
    <r>
      <rPr>
        <b/>
        <sz val="11"/>
        <color theme="1"/>
        <rFont val="Work Sans"/>
        <scheme val="minor"/>
      </rPr>
      <t>more</t>
    </r>
    <r>
      <rPr>
        <sz val="11"/>
        <color theme="1"/>
        <rFont val="Work Sans"/>
        <scheme val="minor"/>
      </rPr>
      <t xml:space="preserve"> than the customer base, being a </t>
    </r>
    <r>
      <rPr>
        <u/>
        <sz val="11"/>
        <color theme="1"/>
        <rFont val="Work Sans (Body)"/>
      </rPr>
      <t>relevant trend in the pet healthcare market</t>
    </r>
  </si>
  <si>
    <t>of which: 30% Base Surgeon</t>
  </si>
  <si>
    <t>70% Base Vet</t>
  </si>
  <si>
    <t>G&amp;A (100% Staff costs)</t>
  </si>
  <si>
    <t>of which: 50% Specialized Vet</t>
  </si>
  <si>
    <t>6% Spa Operator</t>
  </si>
  <si>
    <t>44% Base Vet</t>
  </si>
  <si>
    <t># Staff employees</t>
  </si>
  <si>
    <t># Base Surgeons</t>
  </si>
  <si>
    <t># Base Vets</t>
  </si>
  <si>
    <t>VetWell - Treatments</t>
  </si>
  <si>
    <t># Specialized Vets</t>
  </si>
  <si>
    <t>Employer type</t>
  </si>
  <si>
    <t>Headcount</t>
  </si>
  <si>
    <t>Staff employee salary</t>
  </si>
  <si>
    <t>Base Surgeon salary</t>
  </si>
  <si>
    <r>
      <t xml:space="preserve">PetCare - Employees </t>
    </r>
    <r>
      <rPr>
        <sz val="11"/>
        <color theme="1"/>
        <rFont val="Work Sans"/>
        <scheme val="minor"/>
      </rPr>
      <t>| &gt;&gt;&gt; Assumption: growth in headcount aligns with business expansion</t>
    </r>
    <r>
      <rPr>
        <b/>
        <sz val="11"/>
        <color theme="1"/>
        <rFont val="Work Sans"/>
        <scheme val="minor"/>
      </rPr>
      <t xml:space="preserve"> </t>
    </r>
    <r>
      <rPr>
        <sz val="11"/>
        <color theme="1"/>
        <rFont val="Work Sans"/>
        <scheme val="minor"/>
      </rPr>
      <t>needs (except for Staff)</t>
    </r>
  </si>
  <si>
    <t>YoY Growth (Headcount)</t>
  </si>
  <si>
    <r>
      <t xml:space="preserve">VetWell - Employees </t>
    </r>
    <r>
      <rPr>
        <sz val="11"/>
        <color theme="1"/>
        <rFont val="Work Sans"/>
        <scheme val="minor"/>
      </rPr>
      <t>| &gt;&gt;&gt; Assumption: growth in headcount aligns with business expansion</t>
    </r>
    <r>
      <rPr>
        <b/>
        <sz val="11"/>
        <color theme="1"/>
        <rFont val="Work Sans"/>
        <scheme val="minor"/>
      </rPr>
      <t xml:space="preserve"> </t>
    </r>
    <r>
      <rPr>
        <sz val="11"/>
        <color theme="1"/>
        <rFont val="Work Sans"/>
        <scheme val="minor"/>
      </rPr>
      <t>needs (except for Staff)</t>
    </r>
  </si>
  <si>
    <t>Specialized Vet salary</t>
  </si>
  <si>
    <t>Base Vet salary</t>
  </si>
  <si>
    <t># Spa Operators</t>
  </si>
  <si>
    <t>YoY Growth (Vets)</t>
  </si>
  <si>
    <t>YoY Growth (Spa Operator)</t>
  </si>
  <si>
    <t># Spa operators</t>
  </si>
  <si>
    <t>Spa operator salary</t>
  </si>
  <si>
    <r>
      <t xml:space="preserve">PetCare - Business Plan </t>
    </r>
    <r>
      <rPr>
        <sz val="11"/>
        <color theme="1"/>
        <rFont val="Work Sans"/>
        <scheme val="minor"/>
      </rPr>
      <t>| &gt;&gt;&gt; Assumption: only costs increasing with business needs are labor, materials and third party professionals</t>
    </r>
  </si>
  <si>
    <r>
      <t xml:space="preserve">&gt;&gt;&gt; Assumption: </t>
    </r>
    <r>
      <rPr>
        <b/>
        <sz val="11"/>
        <color theme="1"/>
        <rFont val="Work Sans"/>
        <scheme val="minor"/>
      </rPr>
      <t>Constant</t>
    </r>
    <r>
      <rPr>
        <sz val="11"/>
        <color theme="1"/>
        <rFont val="Work Sans"/>
        <scheme val="minor"/>
      </rPr>
      <t xml:space="preserve"> treatment prices</t>
    </r>
  </si>
  <si>
    <r>
      <t xml:space="preserve">VetWell - Business Plan </t>
    </r>
    <r>
      <rPr>
        <sz val="11"/>
        <color theme="1"/>
        <rFont val="Work Sans"/>
        <scheme val="minor"/>
      </rPr>
      <t>| &gt;&gt;&gt; Assumption: only costs increasing with business needs are labor, materials and third party professionals</t>
    </r>
  </si>
  <si>
    <t>Staff employee AVG salary</t>
  </si>
  <si>
    <t>Specialized Vet AVG salary</t>
  </si>
  <si>
    <t>Base Vet AVG salary</t>
  </si>
  <si>
    <t>Spa operator AVG salary</t>
  </si>
  <si>
    <t>Base Surgeon AVG salary</t>
  </si>
  <si>
    <t>PetCare + VetWell - Treatments</t>
  </si>
  <si>
    <r>
      <t xml:space="preserve">PetCare + VetWell - Employees </t>
    </r>
    <r>
      <rPr>
        <sz val="11"/>
        <color theme="1"/>
        <rFont val="Work Sans"/>
        <scheme val="minor"/>
      </rPr>
      <t>| &gt;&gt;&gt; Assumption: growth in headcount aligns with business expansion</t>
    </r>
    <r>
      <rPr>
        <b/>
        <sz val="11"/>
        <color theme="1"/>
        <rFont val="Work Sans"/>
        <scheme val="minor"/>
      </rPr>
      <t xml:space="preserve"> </t>
    </r>
    <r>
      <rPr>
        <sz val="11"/>
        <color theme="1"/>
        <rFont val="Work Sans"/>
        <scheme val="minor"/>
      </rPr>
      <t>needs (except for Staff)</t>
    </r>
  </si>
  <si>
    <r>
      <t xml:space="preserve">PetCare + VetWell - Business Plan </t>
    </r>
    <r>
      <rPr>
        <sz val="11"/>
        <color theme="1"/>
        <rFont val="Work Sans"/>
        <scheme val="minor"/>
      </rPr>
      <t>| &gt;&gt;&gt; Assumption: only costs increasing with business needs are labor, materials and third party professionals</t>
    </r>
  </si>
  <si>
    <t>Labour Cost as % of Revenue [%]</t>
  </si>
  <si>
    <t>Third Party Professionals Cost as % of Revenue [%]</t>
  </si>
  <si>
    <t>Material Cost as % of Revenue [%]</t>
  </si>
  <si>
    <t>Special Treatments Revenue as % of Total Revenue [%]</t>
  </si>
  <si>
    <t>PETCARE</t>
  </si>
  <si>
    <t>VETWELL</t>
  </si>
  <si>
    <t xml:space="preserve">MERGED COMPANY </t>
  </si>
  <si>
    <t>Tiered Brand Strategy Implementation</t>
  </si>
  <si>
    <t>PetCare’s disconnected IT systems will be replaced with VetWell’s AI-driven CRM, centralizing patient records, scheduling, and customer management. Post-merger, data migration, workflow automation, and staff training will enhance efficiency and improve the patient experience across all clinics</t>
  </si>
  <si>
    <t>Staff functions centralization</t>
  </si>
  <si>
    <t>Workforce Upskilling and Cross-Training</t>
  </si>
  <si>
    <t>PetCare outsourced specialists, while VetWell had in-house expertise. Post-merger, cross-training programs will upskill PetCare’s vets in AI diagnostics and preventive care, while specialist rotations will expand services. When VetWell specialists are underutilized, they will fill vacancies at PetCare clinics, reducing reliance on third-party professionals. PetCare’s hospital will evolve into a Center of Excellence for advanced cases</t>
  </si>
  <si>
    <t>PetCare had decentralized HR, finance, and marketing, while VetWell was centralized. Post-merger, a Shared Services Center will handle payroll, procurement, and financial reporting. HR will adopt a standardized recruitment and training process, while marketing will follow a unified digital strategy to strengthen brand identity</t>
  </si>
  <si>
    <t>Procurement and Supply Chain optimization</t>
  </si>
  <si>
    <t>Qualitative Effects</t>
  </si>
  <si>
    <r>
      <t xml:space="preserve">PetCare was a mid-tier network focused on accessibility, while VetWell specialized in premium wellness and AI-driven care. Post-merger, a </t>
    </r>
    <r>
      <rPr>
        <b/>
        <sz val="12.5"/>
        <color rgb="FF000000"/>
        <rFont val="Avenir Next"/>
        <family val="2"/>
      </rPr>
      <t>tiered model</t>
    </r>
    <r>
      <rPr>
        <sz val="12.5"/>
        <color rgb="FF000000"/>
        <rFont val="Avenir Next"/>
        <family val="2"/>
      </rPr>
      <t xml:space="preserve"> will maintain “</t>
    </r>
    <r>
      <rPr>
        <b/>
        <i/>
        <sz val="12.5"/>
        <color rgb="FF000000"/>
        <rFont val="Avenir Next"/>
        <family val="2"/>
      </rPr>
      <t>VetWell by PetCare</t>
    </r>
    <r>
      <rPr>
        <sz val="12.5"/>
        <color rgb="FF000000"/>
        <rFont val="Avenir Next"/>
        <family val="2"/>
      </rPr>
      <t xml:space="preserve">” for high-end clients, offering premium services like spa treatments and home visits, while standard PetCare clinics will integrate select VetWell offerings through </t>
    </r>
    <r>
      <rPr>
        <b/>
        <sz val="12.5"/>
        <color rgb="FF000000"/>
        <rFont val="Avenir Next"/>
        <family val="2"/>
      </rPr>
      <t>cross-selling</t>
    </r>
    <r>
      <rPr>
        <sz val="12.5"/>
        <color rgb="FF000000"/>
        <rFont val="Avenir Next"/>
        <family val="2"/>
      </rPr>
      <t xml:space="preserve"> and  </t>
    </r>
    <r>
      <rPr>
        <b/>
        <sz val="12.5"/>
        <color rgb="FF000000"/>
        <rFont val="Avenir Next"/>
        <family val="2"/>
      </rPr>
      <t>product bundling</t>
    </r>
    <r>
      <rPr>
        <sz val="12.5"/>
        <color rgb="FF000000"/>
        <rFont val="Avenir Next"/>
        <family val="2"/>
      </rPr>
      <t>, driving revenue growth and retention</t>
    </r>
  </si>
  <si>
    <t>Unification of IT Systems</t>
  </si>
  <si>
    <t>Before the merger, PetCare and VetWell purchased similar medical supplies from different vendors, leading to inefficiencies. Post-merger, procurement will be centralized, consolidating supplier contracts and leveraging bulk purchasing agreements for cost savings. Inventory management will be standardized across clinics using VetWell’s CRM-based tracking system, reducing waste and improving supply availability</t>
  </si>
  <si>
    <t>Intitiatives identified</t>
  </si>
  <si>
    <t>- Enhanced demand for premium treatments and wellness services by leveraging PetCare’s extensive customer base and VetWell’s specialized offerings
- Increased customer retention and lifetime value through strategic cross-selling and bundled service offerings</t>
  </si>
  <si>
    <t>- Significant cost reduction (potential elimination) in appointment booking
- Enhanced data analysis capabilities leveraging VetWell’s existing provider
- Scaled telemedicine services for all PetCare clients, driving revenues through subrcription fees and brand improvement
- Consolidation and optimization of IT functions for greater efficiency</t>
  </si>
  <si>
    <t xml:space="preserve">Improving care quality in PetCare’s facilities will drive customer acquisition and retention, increasing overall market share
Specialized vets will:
i) Rotate between VetWell and PetCare’s facilities
ii) Be hired in PetCare’s facilities  
drastically reducing reliance on third-party professionals
</t>
  </si>
  <si>
    <t xml:space="preserve">- Reducing labor costs and consolidating staff functions for greater efficiency
- Improving staff activities by leveraging best practices from both organizations
</t>
  </si>
  <si>
    <t>- Reducing material expenses through bulk purchasing and economies of scale with preferred suppliers
- Centralizing procurement functions, leading to workforce reduction
- Improving inventory management to avoid stock-outs, enhancing supply availability and strengthening the brand</t>
  </si>
  <si>
    <t>Metric</t>
  </si>
  <si>
    <t>Assumption</t>
  </si>
  <si>
    <t>Reduction in PetCare's Booking Services Costs</t>
  </si>
  <si>
    <t xml:space="preserve">Subscription model yearly # of clients </t>
  </si>
  <si>
    <t>Staff</t>
  </si>
  <si>
    <t>Hirings &amp; Layoffs</t>
  </si>
  <si>
    <t>Base Vets</t>
  </si>
  <si>
    <t>Specialized Vets</t>
  </si>
  <si>
    <t>&gt;&gt;&gt; see above</t>
  </si>
  <si>
    <t>Quantification of Synergies and Dissynergies - some Assumptions</t>
  </si>
  <si>
    <t>&gt;&gt;&gt; By consolidating Staff functions like IT and HR, as well as Centralizing the Clinics Staff into a general Clinic Back Office is possible to optimize costs. Also higher efficiency learnt from VetWell helps in this sense</t>
  </si>
  <si>
    <t xml:space="preserve">Salary harmonization </t>
  </si>
  <si>
    <t>PetCare - calculations</t>
  </si>
  <si>
    <t>VetWell - calculations</t>
  </si>
  <si>
    <t>Materials expenditure per treatment</t>
  </si>
  <si>
    <t>Reduction of Average Materials expenditure per treatment</t>
  </si>
  <si>
    <t>&gt;&gt;&gt; Thanks to bulk purchases generating scale economies, the average material expenditure per treatment will go down significantly</t>
  </si>
  <si>
    <t>Expenses Required</t>
  </si>
  <si>
    <t>PetCare's IT system spending reduction</t>
  </si>
  <si>
    <t>IT service expenditure for PetCare</t>
  </si>
  <si>
    <t>&gt;&gt;&gt; Assumption: rounded</t>
  </si>
  <si>
    <t>&gt;&gt;&gt; Being the IT system outsourced and license-based, we computed by scaling the value based on the number of employees (see input table, B49). Again, the complete</t>
  </si>
  <si>
    <t>Additional IT system licenses and integrations</t>
  </si>
  <si>
    <t>Change Management Initiatives</t>
  </si>
  <si>
    <r>
      <rPr>
        <sz val="11"/>
        <color theme="1"/>
        <rFont val="Work Sans (Body)"/>
      </rPr>
      <t xml:space="preserve">Source: </t>
    </r>
    <r>
      <rPr>
        <u/>
        <sz val="11"/>
        <color theme="10"/>
        <rFont val="Work Sans"/>
        <family val="2"/>
        <scheme val="minor"/>
      </rPr>
      <t>link</t>
    </r>
  </si>
  <si>
    <t>&gt;&gt;&gt; Needed to ensure a smooth transition. Consulting firms like Gartner recommend allocating at least 15% of the overall system implementation budget for change management</t>
  </si>
  <si>
    <t>Average yearly subscription model expenditure</t>
  </si>
  <si>
    <t>&gt;&gt;&gt; Initially to attract customers a lower price and limited time offers are needed. Assumed to be the monthly ticket equals to 15€/month for early access and 30€/month starting from the second year</t>
  </si>
  <si>
    <t>Increase in treatment demand (cross-selling, bundling)</t>
  </si>
  <si>
    <t>&gt;&gt;&gt; "Special" treatments grow above market average (and customer growth levels), because the wealthiest share of PetCare Customers will also be interested in premium services</t>
  </si>
  <si>
    <t xml:space="preserve"> &gt;&gt;&gt; Assumption: "Standard" treatment demand grows consistently with the customer base 		
		</t>
  </si>
  <si>
    <t>Subscription services</t>
  </si>
  <si>
    <t>&gt;&gt;&gt; New revenue streams coming from subscription-based models will require several years to be launched</t>
  </si>
  <si>
    <t>&gt;&gt;&gt; Assumption: Spas will remain an exclusive of VetWell facilities, therefore no more operators are needed</t>
  </si>
  <si>
    <t>&gt;&gt;&gt; Assumption: Base Surgeons will remain the same number</t>
  </si>
  <si>
    <t>&gt;&gt;&gt; To avoid frictions between new colleagues, salaries need to be harmonized. This is made possible by the other cost-cutting initiatives</t>
  </si>
  <si>
    <t>&gt;&gt;&gt; Assumption: Base Surgeons salary will remain the same, since there are no Base Surgeons coming from VetWell there is no danger of friction</t>
  </si>
  <si>
    <t>&gt;&gt;&gt; Assumption: Spa Operator salary will remain the same, since there are no Spa Operators coming from PetCare there is no danger of friction</t>
  </si>
  <si>
    <t>PetCare + VetWell - calculations</t>
  </si>
  <si>
    <t>Weighted Average price for standard treatment</t>
  </si>
  <si>
    <t>&gt;&gt;&gt; Assumption: Fixed Standard treatments mix (between PetCare and VetWell) for the computation of the average price</t>
  </si>
  <si>
    <r>
      <t xml:space="preserve">&gt;&gt;&gt; Assumption: Dual-Brand strategy with </t>
    </r>
    <r>
      <rPr>
        <b/>
        <sz val="11"/>
        <color theme="1"/>
        <rFont val="Work Sans"/>
        <scheme val="minor"/>
      </rPr>
      <t xml:space="preserve">constant prices </t>
    </r>
    <r>
      <rPr>
        <sz val="11"/>
        <color theme="1"/>
        <rFont val="Work Sans"/>
        <scheme val="minor"/>
      </rPr>
      <t>within PetCare and VetWell, to avoid brand dilution and ensure a smooth brand consolidation</t>
    </r>
  </si>
  <si>
    <t>&gt;&gt;&gt; Thanks to the structured training know-how brought by VetWell, more Specialized Vets will be hired to provide higher-end services and reduce dependancy on third party professionals. Some Base Vets will be replaced by Specialized Vets, especially in facilities where demand of High-end services is higher</t>
  </si>
  <si>
    <t>Third Party Professional average cost per Treatment</t>
  </si>
  <si>
    <t xml:space="preserve">PetCare + VetWell - Business Plan </t>
  </si>
  <si>
    <t>PetCare + VetWell - Employees</t>
  </si>
  <si>
    <t>Training cost per employee</t>
  </si>
  <si>
    <t>Increased Training Costs per employee</t>
  </si>
  <si>
    <t>&gt;&gt;&gt; A structured training costs more. The maximum value per employee is set equals to VetWell's actual price, disregarding scale effects</t>
  </si>
  <si>
    <t>Yearly Specialist check ups per Specialized Vet</t>
  </si>
  <si>
    <t>Yearly Specialist surgeries per Specialized Vet</t>
  </si>
  <si>
    <t>Change Management Initiatives Busget as a % of project expenses</t>
  </si>
  <si>
    <t>&gt;&gt;&gt; Integrating VetWell's IT system, bookings will be fully managed by the CRM, but it takes a few years</t>
  </si>
  <si>
    <t>&gt;&gt;&gt; with such an outdated IT system, the transition will require a long time before being 100% completed and not causing interruptions in the operations. Probably completed after 2028</t>
  </si>
  <si>
    <t>&gt;&gt;&gt; The higher quality of the Veterinary services, will result in an increase of the total market share thanks to improved branding | Note: this is intended as an increase over the standard CAGR</t>
  </si>
  <si>
    <t>TOT</t>
  </si>
  <si>
    <t>Increase in Special Treatments demand (cross-selling, bundling)</t>
  </si>
  <si>
    <t>Visionary Pulse - Net Synergies [€]</t>
  </si>
  <si>
    <t xml:space="preserve">&gt;&gt;&gt; Assumption: Marketing &amp; Communication expenses remain constant because cost reductions from synergies offset the additional investment needed to maintain VetWell’s premium image during integration with PetCare
</t>
  </si>
  <si>
    <t>Nutrition-related services</t>
  </si>
  <si>
    <t>Revenues (€ Millions)</t>
  </si>
  <si>
    <t>Costs (€ Millions)</t>
  </si>
  <si>
    <t>EBITDA (€ Millions)</t>
  </si>
  <si>
    <t>YoY Increase – Customer Base | Brand consolidation</t>
  </si>
  <si>
    <t>Standard Treatments</t>
  </si>
  <si>
    <t>Premium Treatments</t>
  </si>
  <si>
    <t>New Subscription services</t>
  </si>
  <si>
    <t>Other services</t>
  </si>
  <si>
    <t>-</t>
  </si>
  <si>
    <t>NO SYNERGIES</t>
  </si>
  <si>
    <t>WITH SYNERGIES</t>
  </si>
  <si>
    <t>Baseline</t>
  </si>
  <si>
    <t>Pessimistic Scenario</t>
  </si>
  <si>
    <t>Optimistic Scenario</t>
  </si>
  <si>
    <t>Scenarios</t>
  </si>
  <si>
    <t>PetCare + VetWell - YoY Increase – Customer Base | Brand consolidation</t>
  </si>
  <si>
    <t>YoY Increase</t>
  </si>
  <si>
    <t>PetCare + VetWell - Increase in treatment demand (cross-selling, bundling)</t>
  </si>
  <si>
    <t xml:space="preserve">PetCare + VetWell - Subscription model yearly # of clients </t>
  </si>
  <si>
    <t>PetCare + VetWell - Average yearly subscription model expenditure</t>
  </si>
  <si>
    <t>PetCare + VetWell - Change Management Initiatives Busget as a % of project expenses</t>
  </si>
  <si>
    <t>PetCare + VetWell - Staff</t>
  </si>
  <si>
    <t>PetCare + VetWell - Base Vets</t>
  </si>
  <si>
    <t>PetCare + VetWell - Specisalized Vets</t>
  </si>
  <si>
    <r>
      <t xml:space="preserve">Sensitivity analisys
</t>
    </r>
    <r>
      <rPr>
        <sz val="13"/>
        <color theme="1"/>
        <rFont val="Work Sans (Corpo)"/>
      </rPr>
      <t>We built a sensitivity analysis to test how key operational drivers affect financial outcomes after the merger: by toggling between baseline, pessimistic, and optimistic scenarios, we can observe in real time how changes in assumptions impact the number of clients, revenues, synergies, and EBITDA. The model focuses on key synergy drivers such as brand growth assumptions, treatment volume projections, number of active clients, staff composition (including base and specialist veterinarians), and marketing or operational budget changes. These variables are tested through scenario toggles, which are activated by clicking buttons embedded in the Excel file. Each button runs a macro that updates the relevant inputs, allowing us to instantly observe how changes in assumptions affect synergies and financial outcomes. This approach enables us to stress-test the integration plan and better understand which levers have the greatest impact.</t>
    </r>
  </si>
  <si>
    <t>Reset Scerario and Extreme scenarios</t>
  </si>
  <si>
    <t>Tot Revenues</t>
  </si>
  <si>
    <t>Total Costs</t>
  </si>
  <si>
    <t>Total Synergies</t>
  </si>
  <si>
    <t>Post Merger Integration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</si>
</sst>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0.00\ &quot;€&quot;;\-#,##0.00\ &quot;€&quot;"/>
    <numFmt numFmtId="44" formatCode="_-* #,##0.00\ &quot;€&quot;_-;\-* #,##0.00\ &quot;€&quot;_-;_-* &quot;-&quot;??\ &quot;€&quot;_-;_-@_-"/>
    <numFmt numFmtId="43" formatCode="_-* #,##0.00_-;\-* #,##0.00_-;_-* &quot;-&quot;??_-;_-@_-"/>
    <numFmt numFmtId="164" formatCode="_-* #,##0_-;\-* #,##0_-;_-* &quot;-&quot;??_-;_-@_-"/>
    <numFmt numFmtId="165" formatCode="#,##0\ &quot;€&quot;"/>
    <numFmt numFmtId="166" formatCode="[$$-409]#,##0"/>
    <numFmt numFmtId="167" formatCode="0.0%"/>
    <numFmt numFmtId="168" formatCode="_-* #,##0\ &quot;€&quot;_-;\-* #,##0\ &quot;€&quot;_-;_-* &quot;-&quot;??\ &quot;€&quot;_-;_-@_-"/>
    <numFmt numFmtId="169" formatCode="0.0"/>
    <numFmt numFmtId="170" formatCode="_-* #,##0.000_-;\-* #,##0.000_-;_-* &quot;-&quot;??_-;_-@_-"/>
    <numFmt numFmtId="171" formatCode="_-* #,##0.000000_-;\-* #,##0.000000_-;_-* &quot;-&quot;??_-;_-@_-"/>
    <numFmt numFmtId="172" formatCode="0.000"/>
    <numFmt numFmtId="173" formatCode="#,##0.00\ &quot;€&quot;"/>
    <numFmt numFmtId="174" formatCode="#,##0_ ;\-#,##0\ "/>
  </numFmts>
  <fonts count="33" x14ac:knownFonts="1">
    <font>
      <sz val="11"/>
      <color theme="1"/>
      <name val="Work Sans"/>
      <family val="2"/>
      <scheme val="minor"/>
    </font>
    <font>
      <sz val="11"/>
      <color theme="1"/>
      <name val="Work Sans"/>
      <family val="2"/>
      <scheme val="minor"/>
    </font>
    <font>
      <sz val="11"/>
      <color rgb="FF9C5700"/>
      <name val="Work Sans"/>
      <family val="2"/>
      <scheme val="minor"/>
    </font>
    <font>
      <b/>
      <i/>
      <sz val="11"/>
      <color theme="1"/>
      <name val="Work Sans"/>
      <scheme val="minor"/>
    </font>
    <font>
      <b/>
      <sz val="11"/>
      <color theme="1"/>
      <name val="Work Sans"/>
      <scheme val="minor"/>
    </font>
    <font>
      <sz val="11"/>
      <color theme="1"/>
      <name val="Work Sans"/>
      <scheme val="minor"/>
    </font>
    <font>
      <b/>
      <sz val="22"/>
      <color theme="0"/>
      <name val="Work Sans"/>
      <scheme val="minor"/>
    </font>
    <font>
      <b/>
      <sz val="18"/>
      <color theme="7" tint="0.39997558519241921"/>
      <name val="Work Sans"/>
      <scheme val="minor"/>
    </font>
    <font>
      <sz val="11"/>
      <color rgb="FF9C5700"/>
      <name val="Work Sans"/>
      <scheme val="minor"/>
    </font>
    <font>
      <sz val="8"/>
      <name val="Work Sans"/>
      <family val="2"/>
      <scheme val="minor"/>
    </font>
    <font>
      <b/>
      <sz val="14"/>
      <color theme="0"/>
      <name val="Work Sans"/>
      <scheme val="minor"/>
    </font>
    <font>
      <sz val="14"/>
      <color theme="1"/>
      <name val="Work Sans"/>
      <scheme val="minor"/>
    </font>
    <font>
      <i/>
      <sz val="11"/>
      <color theme="1"/>
      <name val="Work Sans"/>
      <scheme val="minor"/>
    </font>
    <font>
      <sz val="11"/>
      <name val="Work Sans"/>
      <scheme val="minor"/>
    </font>
    <font>
      <i/>
      <sz val="11"/>
      <name val="Work Sans"/>
      <scheme val="minor"/>
    </font>
    <font>
      <sz val="11"/>
      <color rgb="FF006100"/>
      <name val="Work Sans"/>
      <family val="2"/>
      <scheme val="minor"/>
    </font>
    <font>
      <b/>
      <sz val="11"/>
      <color rgb="FF006100"/>
      <name val="Work Sans"/>
      <scheme val="minor"/>
    </font>
    <font>
      <b/>
      <sz val="12"/>
      <color theme="0"/>
      <name val="Work Sans"/>
      <scheme val="minor"/>
    </font>
    <font>
      <sz val="12"/>
      <color theme="1"/>
      <name val="Work Sans"/>
      <scheme val="minor"/>
    </font>
    <font>
      <u/>
      <sz val="11"/>
      <color theme="1"/>
      <name val="Work Sans (Body)"/>
    </font>
    <font>
      <sz val="11"/>
      <color rgb="FF000000"/>
      <name val="Work Sans"/>
      <charset val="1"/>
      <scheme val="minor"/>
    </font>
    <font>
      <b/>
      <sz val="14"/>
      <color theme="1"/>
      <name val="Work Sans"/>
      <scheme val="minor"/>
    </font>
    <font>
      <b/>
      <sz val="18"/>
      <color theme="1"/>
      <name val="Work Sans"/>
      <scheme val="minor"/>
    </font>
    <font>
      <sz val="12.5"/>
      <color rgb="FF000000"/>
      <name val="Avenir Next"/>
      <family val="2"/>
    </font>
    <font>
      <b/>
      <sz val="12.5"/>
      <color rgb="FF000000"/>
      <name val="Avenir Next"/>
      <family val="2"/>
    </font>
    <font>
      <b/>
      <i/>
      <sz val="12.5"/>
      <color rgb="FF000000"/>
      <name val="Avenir Next"/>
      <family val="2"/>
    </font>
    <font>
      <u/>
      <sz val="11"/>
      <color theme="10"/>
      <name val="Work Sans"/>
      <family val="2"/>
      <scheme val="minor"/>
    </font>
    <font>
      <b/>
      <sz val="11"/>
      <color rgb="FF000000"/>
      <name val="Work Sans"/>
      <charset val="1"/>
      <scheme val="minor"/>
    </font>
    <font>
      <sz val="11"/>
      <color theme="1"/>
      <name val="Work Sans (Body)"/>
    </font>
    <font>
      <sz val="12"/>
      <color rgb="FF000000"/>
      <name val="Calibri"/>
      <family val="2"/>
    </font>
    <font>
      <sz val="11"/>
      <color rgb="FF000000"/>
      <name val="Work Sans"/>
      <family val="2"/>
      <charset val="1"/>
    </font>
    <font>
      <b/>
      <sz val="15"/>
      <color theme="1"/>
      <name val="Work Sans"/>
      <scheme val="minor"/>
    </font>
    <font>
      <sz val="13"/>
      <color theme="1"/>
      <name val="Work Sans (Corpo)"/>
    </font>
  </fonts>
  <fills count="21">
    <fill>
      <patternFill patternType="none"/>
    </fill>
    <fill>
      <patternFill patternType="gray125"/>
    </fill>
    <fill>
      <patternFill patternType="solid">
        <fgColor rgb="FFFFEB9C"/>
      </patternFill>
    </fill>
    <fill>
      <patternFill patternType="solid">
        <fgColor theme="6" tint="0.79998168889431442"/>
        <bgColor indexed="65"/>
      </patternFill>
    </fill>
    <fill>
      <patternFill patternType="solid">
        <fgColor theme="4" tint="-0.499984740745262"/>
        <bgColor indexed="64"/>
      </patternFill>
    </fill>
    <fill>
      <patternFill patternType="solid">
        <fgColor theme="4" tint="0.89999084444715716"/>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C6EFCE"/>
      </patternFill>
    </fill>
    <fill>
      <patternFill patternType="solid">
        <fgColor theme="9" tint="0.59999389629810485"/>
        <bgColor indexed="64"/>
      </patternFill>
    </fill>
    <fill>
      <patternFill patternType="solid">
        <fgColor rgb="FFF2F2F2"/>
        <bgColor rgb="FF000000"/>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8"/>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C000"/>
        <bgColor indexed="64"/>
      </patternFill>
    </fill>
  </fills>
  <borders count="28">
    <border>
      <left/>
      <right/>
      <top/>
      <bottom/>
      <diagonal/>
    </border>
    <border>
      <left/>
      <right/>
      <top/>
      <bottom style="medium">
        <color indexed="64"/>
      </bottom>
      <diagonal/>
    </border>
    <border>
      <left style="thick">
        <color theme="0" tint="-4.9989318521683403E-2"/>
      </left>
      <right/>
      <top style="thick">
        <color theme="0" tint="-4.9989318521683403E-2"/>
      </top>
      <bottom/>
      <diagonal/>
    </border>
    <border>
      <left/>
      <right/>
      <top style="thick">
        <color theme="0" tint="-4.9989318521683403E-2"/>
      </top>
      <bottom/>
      <diagonal/>
    </border>
    <border>
      <left/>
      <right style="thick">
        <color theme="0" tint="-4.9989318521683403E-2"/>
      </right>
      <top style="thick">
        <color theme="0" tint="-4.9989318521683403E-2"/>
      </top>
      <bottom/>
      <diagonal/>
    </border>
    <border>
      <left style="thick">
        <color theme="0" tint="-4.9989318521683403E-2"/>
      </left>
      <right/>
      <top/>
      <bottom/>
      <diagonal/>
    </border>
    <border>
      <left/>
      <right style="thick">
        <color theme="0" tint="-4.9989318521683403E-2"/>
      </right>
      <top/>
      <bottom/>
      <diagonal/>
    </border>
    <border>
      <left/>
      <right/>
      <top/>
      <bottom style="thin">
        <color theme="0"/>
      </bottom>
      <diagonal/>
    </border>
    <border>
      <left/>
      <right/>
      <top/>
      <bottom style="medium">
        <color theme="0" tint="-4.9989318521683403E-2"/>
      </bottom>
      <diagonal/>
    </border>
    <border>
      <left/>
      <right style="thick">
        <color theme="0" tint="-4.9989318521683403E-2"/>
      </right>
      <top/>
      <bottom style="medium">
        <color theme="0" tint="-4.9989318521683403E-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thin">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bottom style="medium">
        <color theme="0"/>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1" fillId="3" borderId="0" applyNumberFormat="0" applyBorder="0" applyAlignment="0" applyProtection="0"/>
    <xf numFmtId="0" fontId="15" fillId="8" borderId="0" applyNumberFormat="0" applyBorder="0" applyAlignment="0" applyProtection="0"/>
    <xf numFmtId="44" fontId="1" fillId="0" borderId="0" applyFont="0" applyFill="0" applyBorder="0" applyAlignment="0" applyProtection="0"/>
    <xf numFmtId="0" fontId="26" fillId="0" borderId="0" applyNumberFormat="0" applyFill="0" applyBorder="0" applyAlignment="0" applyProtection="0"/>
  </cellStyleXfs>
  <cellXfs count="194">
    <xf numFmtId="0" fontId="0" fillId="0" borderId="0" xfId="0"/>
    <xf numFmtId="0" fontId="4" fillId="0" borderId="0" xfId="0" applyFont="1"/>
    <xf numFmtId="0" fontId="5" fillId="4" borderId="2" xfId="0" applyFont="1" applyFill="1" applyBorder="1"/>
    <xf numFmtId="0" fontId="5" fillId="4" borderId="3" xfId="0" applyFont="1" applyFill="1" applyBorder="1"/>
    <xf numFmtId="0" fontId="5" fillId="4" borderId="4" xfId="0" applyFont="1" applyFill="1" applyBorder="1"/>
    <xf numFmtId="0" fontId="5" fillId="0" borderId="0" xfId="0" applyFont="1"/>
    <xf numFmtId="0" fontId="5" fillId="4" borderId="5" xfId="0" applyFont="1" applyFill="1" applyBorder="1"/>
    <xf numFmtId="0" fontId="5" fillId="4" borderId="0" xfId="0" applyFont="1" applyFill="1"/>
    <xf numFmtId="0" fontId="5" fillId="4" borderId="6" xfId="0" applyFont="1" applyFill="1" applyBorder="1"/>
    <xf numFmtId="0" fontId="6" fillId="4" borderId="7" xfId="0" applyFont="1" applyFill="1" applyBorder="1"/>
    <xf numFmtId="0" fontId="5" fillId="4" borderId="8" xfId="0" applyFont="1" applyFill="1" applyBorder="1"/>
    <xf numFmtId="0" fontId="5" fillId="4" borderId="9" xfId="0" applyFont="1" applyFill="1" applyBorder="1"/>
    <xf numFmtId="0" fontId="7" fillId="4" borderId="0" xfId="0" applyFont="1" applyFill="1"/>
    <xf numFmtId="0" fontId="5" fillId="0" borderId="0" xfId="0" quotePrefix="1" applyFont="1"/>
    <xf numFmtId="167" fontId="5" fillId="0" borderId="0" xfId="2" applyNumberFormat="1" applyFont="1"/>
    <xf numFmtId="165" fontId="5" fillId="0" borderId="0" xfId="0" applyNumberFormat="1" applyFont="1"/>
    <xf numFmtId="0" fontId="4" fillId="0" borderId="1" xfId="0" applyFont="1" applyBorder="1"/>
    <xf numFmtId="0" fontId="8" fillId="2" borderId="0" xfId="3" applyFont="1"/>
    <xf numFmtId="1" fontId="5" fillId="3" borderId="0" xfId="4" applyNumberFormat="1" applyFont="1"/>
    <xf numFmtId="9" fontId="8" fillId="2" borderId="0" xfId="3" applyNumberFormat="1" applyFont="1"/>
    <xf numFmtId="9" fontId="5" fillId="0" borderId="0" xfId="0" applyNumberFormat="1" applyFont="1"/>
    <xf numFmtId="166" fontId="5" fillId="0" borderId="0" xfId="1" applyNumberFormat="1" applyFont="1" applyFill="1"/>
    <xf numFmtId="10" fontId="5" fillId="0" borderId="0" xfId="0" applyNumberFormat="1" applyFont="1"/>
    <xf numFmtId="0" fontId="10" fillId="4" borderId="5" xfId="0" applyFont="1" applyFill="1" applyBorder="1"/>
    <xf numFmtId="0" fontId="11" fillId="4" borderId="0" xfId="0" applyFont="1" applyFill="1"/>
    <xf numFmtId="0" fontId="11" fillId="4" borderId="6" xfId="0" applyFont="1" applyFill="1" applyBorder="1"/>
    <xf numFmtId="0" fontId="11" fillId="0" borderId="0" xfId="0" applyFont="1"/>
    <xf numFmtId="0" fontId="5" fillId="0" borderId="5" xfId="0" applyFont="1" applyBorder="1"/>
    <xf numFmtId="0" fontId="2" fillId="2" borderId="10" xfId="3" applyBorder="1"/>
    <xf numFmtId="0" fontId="3" fillId="5" borderId="10" xfId="0" applyFont="1" applyFill="1" applyBorder="1"/>
    <xf numFmtId="0" fontId="4" fillId="6" borderId="0" xfId="0" applyFont="1" applyFill="1"/>
    <xf numFmtId="9" fontId="5" fillId="0" borderId="0" xfId="2" applyFont="1"/>
    <xf numFmtId="0" fontId="12" fillId="0" borderId="0" xfId="0" applyFont="1"/>
    <xf numFmtId="9" fontId="5" fillId="6" borderId="0" xfId="2" applyFont="1" applyFill="1"/>
    <xf numFmtId="0" fontId="3" fillId="0" borderId="0" xfId="0" applyFont="1"/>
    <xf numFmtId="0" fontId="12" fillId="0" borderId="0" xfId="0" applyFont="1" applyAlignment="1">
      <alignment horizontal="left" indent="1"/>
    </xf>
    <xf numFmtId="9" fontId="12" fillId="3" borderId="0" xfId="4" applyNumberFormat="1" applyFont="1"/>
    <xf numFmtId="167" fontId="8" fillId="2" borderId="0" xfId="3" applyNumberFormat="1" applyFont="1"/>
    <xf numFmtId="0" fontId="5" fillId="6" borderId="0" xfId="0" applyFont="1" applyFill="1"/>
    <xf numFmtId="167" fontId="13" fillId="7" borderId="0" xfId="3" applyNumberFormat="1" applyFont="1" applyFill="1"/>
    <xf numFmtId="164" fontId="5" fillId="0" borderId="0" xfId="4" applyNumberFormat="1" applyFont="1" applyFill="1"/>
    <xf numFmtId="167" fontId="14" fillId="7" borderId="0" xfId="3" applyNumberFormat="1" applyFont="1" applyFill="1"/>
    <xf numFmtId="167" fontId="5" fillId="0" borderId="0" xfId="0" applyNumberFormat="1" applyFont="1"/>
    <xf numFmtId="1" fontId="5" fillId="0" borderId="0" xfId="4" applyNumberFormat="1" applyFont="1" applyFill="1"/>
    <xf numFmtId="164" fontId="5" fillId="0" borderId="0" xfId="1" applyNumberFormat="1" applyFont="1"/>
    <xf numFmtId="167" fontId="5" fillId="0" borderId="0" xfId="2" applyNumberFormat="1" applyFont="1" applyFill="1"/>
    <xf numFmtId="165" fontId="4" fillId="3" borderId="0" xfId="4" applyNumberFormat="1" applyFont="1"/>
    <xf numFmtId="165" fontId="16" fillId="8" borderId="0" xfId="5" applyNumberFormat="1" applyFont="1"/>
    <xf numFmtId="0" fontId="12" fillId="0" borderId="0" xfId="0" applyFont="1" applyAlignment="1">
      <alignment horizontal="right"/>
    </xf>
    <xf numFmtId="0" fontId="17" fillId="4" borderId="5" xfId="0" applyFont="1" applyFill="1" applyBorder="1"/>
    <xf numFmtId="0" fontId="18" fillId="4" borderId="0" xfId="0" applyFont="1" applyFill="1"/>
    <xf numFmtId="0" fontId="18" fillId="0" borderId="0" xfId="0" applyFont="1"/>
    <xf numFmtId="165" fontId="5" fillId="7" borderId="0" xfId="0" applyNumberFormat="1" applyFont="1" applyFill="1"/>
    <xf numFmtId="165" fontId="4" fillId="7" borderId="0" xfId="0" applyNumberFormat="1" applyFont="1" applyFill="1"/>
    <xf numFmtId="165" fontId="5" fillId="0" borderId="0" xfId="4" applyNumberFormat="1" applyFont="1" applyFill="1" applyBorder="1"/>
    <xf numFmtId="166" fontId="5" fillId="0" borderId="0" xfId="1" applyNumberFormat="1" applyFont="1" applyFill="1" applyBorder="1"/>
    <xf numFmtId="165" fontId="4" fillId="0" borderId="0" xfId="4" applyNumberFormat="1" applyFont="1" applyFill="1" applyBorder="1"/>
    <xf numFmtId="165" fontId="12" fillId="0" borderId="0" xfId="4" applyNumberFormat="1" applyFont="1" applyFill="1" applyBorder="1"/>
    <xf numFmtId="0" fontId="3" fillId="0" borderId="0" xfId="0" applyFont="1" applyAlignment="1">
      <alignment horizontal="right" indent="1"/>
    </xf>
    <xf numFmtId="44" fontId="5" fillId="0" borderId="0" xfId="6" applyFont="1"/>
    <xf numFmtId="9" fontId="5" fillId="0" borderId="0" xfId="2" applyFont="1" applyFill="1"/>
    <xf numFmtId="44" fontId="5" fillId="3" borderId="0" xfId="6" applyFont="1" applyFill="1"/>
    <xf numFmtId="44" fontId="4" fillId="3" borderId="0" xfId="6" applyFont="1" applyFill="1"/>
    <xf numFmtId="44" fontId="5" fillId="0" borderId="0" xfId="0" applyNumberFormat="1" applyFont="1"/>
    <xf numFmtId="44" fontId="12" fillId="0" borderId="0" xfId="6" applyFont="1"/>
    <xf numFmtId="44" fontId="12" fillId="0" borderId="0" xfId="0" applyNumberFormat="1" applyFont="1"/>
    <xf numFmtId="0" fontId="5" fillId="0" borderId="0" xfId="0" applyFont="1" applyAlignment="1">
      <alignment horizontal="left" wrapText="1"/>
    </xf>
    <xf numFmtId="168" fontId="5" fillId="3" borderId="0" xfId="6" applyNumberFormat="1" applyFont="1" applyFill="1"/>
    <xf numFmtId="168" fontId="4" fillId="3" borderId="0" xfId="6" applyNumberFormat="1" applyFont="1" applyFill="1"/>
    <xf numFmtId="0" fontId="20" fillId="0" borderId="0" xfId="0" applyFont="1"/>
    <xf numFmtId="1" fontId="5" fillId="0" borderId="0" xfId="0" applyNumberFormat="1" applyFont="1"/>
    <xf numFmtId="168" fontId="5" fillId="0" borderId="0" xfId="0" applyNumberFormat="1" applyFont="1"/>
    <xf numFmtId="0" fontId="21" fillId="5" borderId="11" xfId="0" applyFont="1" applyFill="1" applyBorder="1" applyAlignment="1">
      <alignment horizontal="center"/>
    </xf>
    <xf numFmtId="0" fontId="21" fillId="9" borderId="11" xfId="0" applyFont="1" applyFill="1" applyBorder="1" applyAlignment="1">
      <alignment horizontal="center"/>
    </xf>
    <xf numFmtId="0" fontId="23" fillId="6" borderId="15" xfId="0" applyFont="1" applyFill="1" applyBorder="1" applyAlignment="1">
      <alignment horizontal="center" vertical="top" wrapText="1" readingOrder="1"/>
    </xf>
    <xf numFmtId="0" fontId="0" fillId="0" borderId="15" xfId="0" quotePrefix="1" applyBorder="1" applyAlignment="1">
      <alignment vertical="top" wrapText="1"/>
    </xf>
    <xf numFmtId="9" fontId="0" fillId="0" borderId="0" xfId="0" applyNumberFormat="1"/>
    <xf numFmtId="10" fontId="0" fillId="0" borderId="0" xfId="0" applyNumberFormat="1"/>
    <xf numFmtId="1" fontId="0" fillId="0" borderId="0" xfId="0" applyNumberFormat="1"/>
    <xf numFmtId="0" fontId="3" fillId="0" borderId="0" xfId="0" applyFont="1" applyAlignment="1">
      <alignment horizontal="center"/>
    </xf>
    <xf numFmtId="168" fontId="0" fillId="0" borderId="0" xfId="0" applyNumberFormat="1"/>
    <xf numFmtId="44" fontId="0" fillId="0" borderId="0" xfId="6" applyFont="1"/>
    <xf numFmtId="168" fontId="0" fillId="0" borderId="0" xfId="6" applyNumberFormat="1" applyFont="1"/>
    <xf numFmtId="0" fontId="26" fillId="0" borderId="0" xfId="7"/>
    <xf numFmtId="0" fontId="28" fillId="0" borderId="0" xfId="0" applyFont="1"/>
    <xf numFmtId="0" fontId="27" fillId="10" borderId="0" xfId="0" applyFont="1" applyFill="1"/>
    <xf numFmtId="164" fontId="5" fillId="0" borderId="0" xfId="4" applyNumberFormat="1" applyFont="1" applyFill="1" applyAlignment="1">
      <alignment wrapText="1"/>
    </xf>
    <xf numFmtId="9" fontId="12" fillId="0" borderId="0" xfId="2" applyFont="1"/>
    <xf numFmtId="44" fontId="5" fillId="0" borderId="0" xfId="0" applyNumberFormat="1" applyFont="1" applyAlignment="1">
      <alignment horizontal="right"/>
    </xf>
    <xf numFmtId="167" fontId="0" fillId="0" borderId="0" xfId="0" applyNumberFormat="1"/>
    <xf numFmtId="2" fontId="5" fillId="0" borderId="0" xfId="0" applyNumberFormat="1" applyFont="1"/>
    <xf numFmtId="169" fontId="5" fillId="3" borderId="0" xfId="6" applyNumberFormat="1" applyFont="1" applyFill="1"/>
    <xf numFmtId="169" fontId="5" fillId="0" borderId="0" xfId="0" applyNumberFormat="1" applyFont="1"/>
    <xf numFmtId="169" fontId="4" fillId="3" borderId="0" xfId="6" applyNumberFormat="1" applyFont="1" applyFill="1"/>
    <xf numFmtId="169" fontId="5" fillId="3" borderId="17" xfId="6" applyNumberFormat="1" applyFont="1" applyFill="1" applyBorder="1"/>
    <xf numFmtId="0" fontId="18" fillId="0" borderId="0" xfId="0" applyFont="1" applyAlignment="1">
      <alignment wrapText="1"/>
    </xf>
    <xf numFmtId="10" fontId="18" fillId="0" borderId="0" xfId="0" applyNumberFormat="1" applyFont="1"/>
    <xf numFmtId="0" fontId="4" fillId="6" borderId="19" xfId="0" applyFont="1" applyFill="1" applyBorder="1"/>
    <xf numFmtId="0" fontId="5" fillId="0" borderId="20" xfId="0" applyFont="1" applyBorder="1"/>
    <xf numFmtId="169" fontId="4" fillId="12" borderId="20" xfId="6" applyNumberFormat="1" applyFont="1" applyFill="1" applyBorder="1"/>
    <xf numFmtId="0" fontId="5" fillId="0" borderId="14" xfId="0" applyFont="1" applyBorder="1"/>
    <xf numFmtId="0" fontId="5" fillId="0" borderId="12" xfId="0" applyFont="1" applyBorder="1"/>
    <xf numFmtId="0" fontId="5" fillId="0" borderId="13" xfId="0" applyFont="1" applyBorder="1"/>
    <xf numFmtId="169" fontId="5" fillId="12" borderId="20" xfId="6" applyNumberFormat="1" applyFont="1" applyFill="1" applyBorder="1" applyAlignment="1">
      <alignment horizontal="right"/>
    </xf>
    <xf numFmtId="169" fontId="5" fillId="12" borderId="21" xfId="6" applyNumberFormat="1" applyFont="1" applyFill="1" applyBorder="1" applyAlignment="1">
      <alignment horizontal="right"/>
    </xf>
    <xf numFmtId="169" fontId="4" fillId="12" borderId="20" xfId="6" applyNumberFormat="1" applyFont="1" applyFill="1" applyBorder="1" applyAlignment="1">
      <alignment horizontal="right"/>
    </xf>
    <xf numFmtId="0" fontId="5" fillId="0" borderId="21" xfId="0" applyFont="1" applyBorder="1"/>
    <xf numFmtId="0" fontId="4" fillId="0" borderId="17" xfId="0" applyFont="1" applyBorder="1"/>
    <xf numFmtId="0" fontId="5" fillId="0" borderId="21" xfId="0" applyFont="1" applyBorder="1" applyAlignment="1">
      <alignment horizontal="right"/>
    </xf>
    <xf numFmtId="169" fontId="5" fillId="0" borderId="21" xfId="0" applyNumberFormat="1" applyFont="1" applyBorder="1" applyAlignment="1">
      <alignment horizontal="right"/>
    </xf>
    <xf numFmtId="165" fontId="4" fillId="3" borderId="22" xfId="4" applyNumberFormat="1" applyFont="1" applyBorder="1"/>
    <xf numFmtId="0" fontId="4" fillId="6" borderId="23" xfId="0" applyFont="1" applyFill="1" applyBorder="1"/>
    <xf numFmtId="0" fontId="5" fillId="0" borderId="24" xfId="0" applyFont="1" applyBorder="1"/>
    <xf numFmtId="169" fontId="5" fillId="12" borderId="25" xfId="6" applyNumberFormat="1" applyFont="1" applyFill="1" applyBorder="1" applyAlignment="1">
      <alignment horizontal="right"/>
    </xf>
    <xf numFmtId="169" fontId="5" fillId="12" borderId="24" xfId="6" applyNumberFormat="1" applyFont="1" applyFill="1" applyBorder="1" applyAlignment="1">
      <alignment horizontal="right"/>
    </xf>
    <xf numFmtId="169" fontId="4" fillId="12" borderId="25" xfId="6" applyNumberFormat="1" applyFont="1" applyFill="1" applyBorder="1" applyAlignment="1">
      <alignment horizontal="right"/>
    </xf>
    <xf numFmtId="0" fontId="5" fillId="0" borderId="24" xfId="0" applyFont="1" applyBorder="1" applyAlignment="1">
      <alignment horizontal="right"/>
    </xf>
    <xf numFmtId="169" fontId="4" fillId="12" borderId="25" xfId="6" applyNumberFormat="1" applyFont="1" applyFill="1" applyBorder="1"/>
    <xf numFmtId="0" fontId="5" fillId="0" borderId="25" xfId="0" applyFont="1" applyBorder="1"/>
    <xf numFmtId="165" fontId="4" fillId="3" borderId="26" xfId="4" applyNumberFormat="1" applyFont="1" applyBorder="1"/>
    <xf numFmtId="169" fontId="5" fillId="0" borderId="24" xfId="0" applyNumberFormat="1" applyFont="1" applyBorder="1" applyAlignment="1">
      <alignment horizontal="right"/>
    </xf>
    <xf numFmtId="43" fontId="14" fillId="7" borderId="0" xfId="1" applyFont="1" applyFill="1"/>
    <xf numFmtId="170" fontId="14" fillId="7" borderId="0" xfId="1" applyNumberFormat="1" applyFont="1" applyFill="1"/>
    <xf numFmtId="0" fontId="12" fillId="13" borderId="0" xfId="0" applyFont="1" applyFill="1" applyAlignment="1">
      <alignment horizontal="center"/>
    </xf>
    <xf numFmtId="0" fontId="12" fillId="14" borderId="0" xfId="0" applyFont="1" applyFill="1" applyAlignment="1">
      <alignment horizontal="center"/>
    </xf>
    <xf numFmtId="0" fontId="12" fillId="15" borderId="0" xfId="0" applyFont="1" applyFill="1" applyAlignment="1">
      <alignment horizontal="center"/>
    </xf>
    <xf numFmtId="172" fontId="5" fillId="0" borderId="0" xfId="0" applyNumberFormat="1" applyFont="1"/>
    <xf numFmtId="0" fontId="27" fillId="10" borderId="0" xfId="0" applyFont="1" applyFill="1" applyAlignment="1">
      <alignment horizontal="center"/>
    </xf>
    <xf numFmtId="170" fontId="14" fillId="7" borderId="0" xfId="1" quotePrefix="1" applyNumberFormat="1" applyFont="1" applyFill="1"/>
    <xf numFmtId="10" fontId="14" fillId="7" borderId="0" xfId="3" applyNumberFormat="1" applyFont="1" applyFill="1"/>
    <xf numFmtId="0" fontId="4" fillId="16" borderId="1" xfId="0" applyFont="1" applyFill="1" applyBorder="1"/>
    <xf numFmtId="0" fontId="0" fillId="16" borderId="0" xfId="0" applyFill="1"/>
    <xf numFmtId="0" fontId="0" fillId="13" borderId="0" xfId="0" applyFill="1"/>
    <xf numFmtId="0" fontId="4" fillId="13" borderId="1" xfId="0" applyFont="1" applyFill="1" applyBorder="1"/>
    <xf numFmtId="0" fontId="0" fillId="17" borderId="0" xfId="0" applyFill="1"/>
    <xf numFmtId="0" fontId="4" fillId="17" borderId="1" xfId="0" applyFont="1" applyFill="1" applyBorder="1"/>
    <xf numFmtId="0" fontId="0" fillId="18" borderId="0" xfId="0" applyFill="1"/>
    <xf numFmtId="0" fontId="4" fillId="18" borderId="1" xfId="0" applyFont="1" applyFill="1" applyBorder="1"/>
    <xf numFmtId="0" fontId="0" fillId="19" borderId="0" xfId="0" applyFill="1"/>
    <xf numFmtId="0" fontId="4" fillId="19" borderId="1" xfId="0" applyFont="1" applyFill="1" applyBorder="1"/>
    <xf numFmtId="43" fontId="14" fillId="7" borderId="0" xfId="1" quotePrefix="1" applyFont="1" applyFill="1"/>
    <xf numFmtId="164" fontId="14" fillId="7" borderId="0" xfId="1" applyNumberFormat="1" applyFont="1" applyFill="1"/>
    <xf numFmtId="164" fontId="14" fillId="7" borderId="0" xfId="1" quotePrefix="1" applyNumberFormat="1" applyFont="1" applyFill="1"/>
    <xf numFmtId="173" fontId="14" fillId="7" borderId="0" xfId="1" applyNumberFormat="1" applyFont="1" applyFill="1"/>
    <xf numFmtId="173" fontId="14" fillId="7" borderId="0" xfId="1" quotePrefix="1" applyNumberFormat="1" applyFont="1" applyFill="1"/>
    <xf numFmtId="173" fontId="14" fillId="7" borderId="0" xfId="1" applyNumberFormat="1" applyFont="1" applyFill="1" applyAlignment="1">
      <alignment horizontal="right"/>
    </xf>
    <xf numFmtId="9" fontId="14" fillId="7" borderId="0" xfId="1" applyNumberFormat="1" applyFont="1" applyFill="1"/>
    <xf numFmtId="9" fontId="14" fillId="7" borderId="0" xfId="2" applyFont="1" applyFill="1"/>
    <xf numFmtId="9" fontId="14" fillId="7" borderId="0" xfId="2" quotePrefix="1" applyFont="1" applyFill="1"/>
    <xf numFmtId="7" fontId="5" fillId="0" borderId="0" xfId="0" applyNumberFormat="1" applyFont="1"/>
    <xf numFmtId="171" fontId="14" fillId="0" borderId="0" xfId="1" applyNumberFormat="1" applyFont="1" applyFill="1"/>
    <xf numFmtId="43" fontId="14" fillId="0" borderId="0" xfId="1" applyFont="1" applyFill="1"/>
    <xf numFmtId="170" fontId="14" fillId="0" borderId="0" xfId="1" applyNumberFormat="1" applyFont="1" applyFill="1"/>
    <xf numFmtId="0" fontId="0" fillId="9" borderId="0" xfId="0" applyFill="1"/>
    <xf numFmtId="0" fontId="0" fillId="15" borderId="0" xfId="0" applyFill="1"/>
    <xf numFmtId="0" fontId="0" fillId="12" borderId="0" xfId="0" applyFill="1"/>
    <xf numFmtId="0" fontId="4" fillId="12" borderId="1" xfId="0" applyFont="1" applyFill="1" applyBorder="1"/>
    <xf numFmtId="0" fontId="4" fillId="9" borderId="1" xfId="0" applyFont="1" applyFill="1" applyBorder="1"/>
    <xf numFmtId="0" fontId="4" fillId="15" borderId="1" xfId="0" applyFont="1" applyFill="1" applyBorder="1"/>
    <xf numFmtId="0" fontId="5" fillId="0" borderId="0" xfId="0" applyFont="1" applyAlignment="1">
      <alignment horizontal="center"/>
    </xf>
    <xf numFmtId="0" fontId="0" fillId="0" borderId="1" xfId="0" applyBorder="1"/>
    <xf numFmtId="1" fontId="14" fillId="7" borderId="0" xfId="1" applyNumberFormat="1" applyFont="1" applyFill="1"/>
    <xf numFmtId="1" fontId="14" fillId="7" borderId="0" xfId="1" quotePrefix="1" applyNumberFormat="1" applyFont="1" applyFill="1"/>
    <xf numFmtId="174" fontId="14" fillId="7" borderId="0" xfId="1" applyNumberFormat="1" applyFont="1" applyFill="1"/>
    <xf numFmtId="174" fontId="14" fillId="7" borderId="0" xfId="1" quotePrefix="1" applyNumberFormat="1" applyFont="1" applyFill="1"/>
    <xf numFmtId="0" fontId="5" fillId="20" borderId="1" xfId="0" applyFont="1" applyFill="1" applyBorder="1"/>
    <xf numFmtId="9" fontId="5" fillId="0" borderId="1" xfId="0" applyNumberFormat="1" applyFont="1" applyBorder="1" applyAlignment="1">
      <alignment horizontal="center"/>
    </xf>
    <xf numFmtId="0" fontId="5" fillId="0" borderId="1" xfId="0" applyFont="1" applyBorder="1" applyAlignment="1">
      <alignment horizontal="center"/>
    </xf>
    <xf numFmtId="164" fontId="5" fillId="0" borderId="0" xfId="1" applyNumberFormat="1" applyFont="1" applyAlignment="1">
      <alignment horizontal="center"/>
    </xf>
    <xf numFmtId="165" fontId="5" fillId="0" borderId="0" xfId="0" applyNumberFormat="1" applyFont="1" applyAlignment="1">
      <alignment horizontal="center"/>
    </xf>
    <xf numFmtId="9" fontId="5" fillId="0" borderId="0" xfId="2" applyFont="1" applyAlignment="1">
      <alignment horizontal="center"/>
    </xf>
    <xf numFmtId="165" fontId="5" fillId="0" borderId="0" xfId="2" applyNumberFormat="1" applyFont="1" applyAlignment="1">
      <alignment horizontal="center"/>
    </xf>
    <xf numFmtId="0" fontId="4" fillId="20" borderId="1" xfId="0" applyFont="1" applyFill="1" applyBorder="1"/>
    <xf numFmtId="0" fontId="22" fillId="0" borderId="0" xfId="0" applyFont="1" applyAlignment="1">
      <alignment horizontal="center"/>
    </xf>
    <xf numFmtId="0" fontId="23" fillId="6" borderId="16" xfId="0" applyFont="1" applyFill="1" applyBorder="1" applyAlignment="1">
      <alignment horizontal="center" vertical="top" wrapText="1" readingOrder="1"/>
    </xf>
    <xf numFmtId="0" fontId="23" fillId="6" borderId="17" xfId="0" applyFont="1" applyFill="1" applyBorder="1" applyAlignment="1">
      <alignment horizontal="center" vertical="top" wrapText="1" readingOrder="1"/>
    </xf>
    <xf numFmtId="0" fontId="23" fillId="6" borderId="18" xfId="0" applyFont="1" applyFill="1" applyBorder="1" applyAlignment="1">
      <alignment horizontal="center" vertical="top" wrapText="1" readingOrder="1"/>
    </xf>
    <xf numFmtId="0" fontId="21" fillId="5" borderId="14" xfId="0" applyFont="1" applyFill="1" applyBorder="1" applyAlignment="1">
      <alignment horizontal="center"/>
    </xf>
    <xf numFmtId="0" fontId="21" fillId="5" borderId="12" xfId="0" applyFont="1" applyFill="1" applyBorder="1" applyAlignment="1">
      <alignment horizontal="center"/>
    </xf>
    <xf numFmtId="0" fontId="21" fillId="5" borderId="13" xfId="0" applyFont="1" applyFill="1" applyBorder="1" applyAlignment="1">
      <alignment horizontal="center"/>
    </xf>
    <xf numFmtId="164" fontId="5" fillId="0" borderId="0" xfId="4" applyNumberFormat="1" applyFont="1" applyFill="1" applyAlignment="1">
      <alignment horizontal="left" wrapText="1"/>
    </xf>
    <xf numFmtId="0" fontId="5" fillId="0" borderId="0" xfId="0" applyFont="1" applyAlignment="1">
      <alignment horizontal="left" wrapText="1"/>
    </xf>
    <xf numFmtId="0" fontId="21" fillId="9" borderId="14" xfId="0" applyFont="1" applyFill="1" applyBorder="1" applyAlignment="1">
      <alignment horizontal="center"/>
    </xf>
    <xf numFmtId="0" fontId="21" fillId="9" borderId="12" xfId="0" applyFont="1" applyFill="1" applyBorder="1" applyAlignment="1">
      <alignment horizontal="center"/>
    </xf>
    <xf numFmtId="0" fontId="21" fillId="9" borderId="13" xfId="0" applyFont="1" applyFill="1" applyBorder="1" applyAlignment="1">
      <alignment horizontal="center"/>
    </xf>
    <xf numFmtId="0" fontId="0" fillId="0" borderId="16" xfId="0" quotePrefix="1"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4" fillId="11" borderId="14" xfId="0" applyFont="1" applyFill="1" applyBorder="1" applyAlignment="1">
      <alignment horizontal="center"/>
    </xf>
    <xf numFmtId="0" fontId="4" fillId="11" borderId="13" xfId="0" applyFont="1" applyFill="1" applyBorder="1" applyAlignment="1">
      <alignment horizontal="center"/>
    </xf>
    <xf numFmtId="0" fontId="4" fillId="9" borderId="14" xfId="0" applyFont="1" applyFill="1" applyBorder="1" applyAlignment="1">
      <alignment horizontal="center"/>
    </xf>
    <xf numFmtId="0" fontId="4" fillId="9" borderId="13" xfId="0" applyFont="1" applyFill="1" applyBorder="1" applyAlignment="1">
      <alignment horizontal="center"/>
    </xf>
    <xf numFmtId="0" fontId="31" fillId="16" borderId="0" xfId="0" applyFont="1" applyFill="1" applyAlignment="1">
      <alignment horizontal="left" vertical="top" wrapText="1"/>
    </xf>
    <xf numFmtId="0" fontId="6" fillId="4" borderId="27" xfId="0" applyFont="1" applyFill="1" applyBorder="1" applyAlignment="1">
      <alignment horizontal="center"/>
    </xf>
  </cellXfs>
  <cellStyles count="8">
    <cellStyle name="20% - Colore 3" xfId="4" builtinId="38"/>
    <cellStyle name="Collegamento ipertestuale" xfId="7" builtinId="8"/>
    <cellStyle name="Migliaia" xfId="1" builtinId="3"/>
    <cellStyle name="Neutrale" xfId="3" builtinId="28"/>
    <cellStyle name="Normale" xfId="0" builtinId="0"/>
    <cellStyle name="Percentuale" xfId="2" builtinId="5"/>
    <cellStyle name="Valore valido" xfId="5" builtinId="26"/>
    <cellStyle name="Valuta" xfId="6" builtinId="4"/>
  </cellStyles>
  <dxfs count="0"/>
  <tableStyles count="0" defaultTableStyle="TableStyleMedium2" defaultPivotStyle="PivotStyleLight16"/>
  <colors>
    <mruColors>
      <color rgb="FFDBE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159564</xdr:colOff>
      <xdr:row>2</xdr:row>
      <xdr:rowOff>59205</xdr:rowOff>
    </xdr:from>
    <xdr:to>
      <xdr:col>0</xdr:col>
      <xdr:colOff>1279711</xdr:colOff>
      <xdr:row>4</xdr:row>
      <xdr:rowOff>139196</xdr:rowOff>
    </xdr:to>
    <xdr:pic>
      <xdr:nvPicPr>
        <xdr:cNvPr id="2" name="Immagin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9564" y="433855"/>
          <a:ext cx="1120147" cy="679393"/>
        </a:xfrm>
        <a:prstGeom prst="rect">
          <a:avLst/>
        </a:prstGeom>
      </xdr:spPr>
    </xdr:pic>
    <xdr:clientData/>
  </xdr:twoCellAnchor>
  <xdr:twoCellAnchor editAs="oneCell">
    <xdr:from>
      <xdr:col>0</xdr:col>
      <xdr:colOff>1866516</xdr:colOff>
      <xdr:row>1</xdr:row>
      <xdr:rowOff>96212</xdr:rowOff>
    </xdr:from>
    <xdr:to>
      <xdr:col>0</xdr:col>
      <xdr:colOff>2959925</xdr:colOff>
      <xdr:row>4</xdr:row>
      <xdr:rowOff>26</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a:off x="1866516" y="327121"/>
          <a:ext cx="1192873" cy="935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495300</xdr:colOff>
          <xdr:row>91</xdr:row>
          <xdr:rowOff>88900</xdr:rowOff>
        </xdr:from>
        <xdr:to>
          <xdr:col>6</xdr:col>
          <xdr:colOff>2019300</xdr:colOff>
          <xdr:row>93</xdr:row>
          <xdr:rowOff>114300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2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94</xdr:row>
          <xdr:rowOff>12700</xdr:rowOff>
        </xdr:from>
        <xdr:to>
          <xdr:col>6</xdr:col>
          <xdr:colOff>2019300</xdr:colOff>
          <xdr:row>96</xdr:row>
          <xdr:rowOff>38100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200-00001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Work Sans" pitchFamily="2"/>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482600</xdr:colOff>
          <xdr:row>96</xdr:row>
          <xdr:rowOff>127000</xdr:rowOff>
        </xdr:from>
        <xdr:to>
          <xdr:col>6</xdr:col>
          <xdr:colOff>2006600</xdr:colOff>
          <xdr:row>98</xdr:row>
          <xdr:rowOff>152400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2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a:p>
              <a:pPr algn="ctr" rtl="0">
                <a:defRPr sz="1000"/>
              </a:pPr>
              <a:endParaRPr lang="it-IT"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102</xdr:row>
          <xdr:rowOff>114300</xdr:rowOff>
        </xdr:from>
        <xdr:to>
          <xdr:col>6</xdr:col>
          <xdr:colOff>2019300</xdr:colOff>
          <xdr:row>104</xdr:row>
          <xdr:rowOff>139700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2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105</xdr:row>
          <xdr:rowOff>76200</xdr:rowOff>
        </xdr:from>
        <xdr:to>
          <xdr:col>6</xdr:col>
          <xdr:colOff>2019300</xdr:colOff>
          <xdr:row>107</xdr:row>
          <xdr:rowOff>101600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2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Work Sans" pitchFamily="2"/>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482600</xdr:colOff>
          <xdr:row>108</xdr:row>
          <xdr:rowOff>25400</xdr:rowOff>
        </xdr:from>
        <xdr:to>
          <xdr:col>6</xdr:col>
          <xdr:colOff>2006600</xdr:colOff>
          <xdr:row>110</xdr:row>
          <xdr:rowOff>50800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2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a:p>
              <a:pPr algn="ctr" rtl="0">
                <a:defRPr sz="1000"/>
              </a:pPr>
              <a:endParaRPr lang="it-IT"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91</xdr:row>
          <xdr:rowOff>88900</xdr:rowOff>
        </xdr:from>
        <xdr:to>
          <xdr:col>12</xdr:col>
          <xdr:colOff>2019300</xdr:colOff>
          <xdr:row>93</xdr:row>
          <xdr:rowOff>114300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2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94</xdr:row>
          <xdr:rowOff>12700</xdr:rowOff>
        </xdr:from>
        <xdr:to>
          <xdr:col>12</xdr:col>
          <xdr:colOff>2019300</xdr:colOff>
          <xdr:row>96</xdr:row>
          <xdr:rowOff>38100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200-00001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Work Sans" pitchFamily="2"/>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482600</xdr:colOff>
          <xdr:row>96</xdr:row>
          <xdr:rowOff>127000</xdr:rowOff>
        </xdr:from>
        <xdr:to>
          <xdr:col>12</xdr:col>
          <xdr:colOff>2006600</xdr:colOff>
          <xdr:row>98</xdr:row>
          <xdr:rowOff>152400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200-00001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a:p>
              <a:pPr algn="ctr" rtl="0">
                <a:defRPr sz="1000"/>
              </a:pPr>
              <a:endParaRPr lang="it-IT"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102</xdr:row>
          <xdr:rowOff>88900</xdr:rowOff>
        </xdr:from>
        <xdr:to>
          <xdr:col>12</xdr:col>
          <xdr:colOff>2019300</xdr:colOff>
          <xdr:row>104</xdr:row>
          <xdr:rowOff>114300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200-00001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105</xdr:row>
          <xdr:rowOff>12700</xdr:rowOff>
        </xdr:from>
        <xdr:to>
          <xdr:col>12</xdr:col>
          <xdr:colOff>2019300</xdr:colOff>
          <xdr:row>107</xdr:row>
          <xdr:rowOff>38100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200-00002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Work Sans" pitchFamily="2"/>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482600</xdr:colOff>
          <xdr:row>107</xdr:row>
          <xdr:rowOff>127000</xdr:rowOff>
        </xdr:from>
        <xdr:to>
          <xdr:col>12</xdr:col>
          <xdr:colOff>2006600</xdr:colOff>
          <xdr:row>109</xdr:row>
          <xdr:rowOff>152400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200-00002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a:p>
              <a:pPr algn="ctr" rtl="0">
                <a:defRPr sz="1000"/>
              </a:pPr>
              <a:endParaRPr lang="it-IT"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113</xdr:row>
          <xdr:rowOff>88900</xdr:rowOff>
        </xdr:from>
        <xdr:to>
          <xdr:col>12</xdr:col>
          <xdr:colOff>2019300</xdr:colOff>
          <xdr:row>115</xdr:row>
          <xdr:rowOff>114300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200-00002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116</xdr:row>
          <xdr:rowOff>12700</xdr:rowOff>
        </xdr:from>
        <xdr:to>
          <xdr:col>12</xdr:col>
          <xdr:colOff>2019300</xdr:colOff>
          <xdr:row>118</xdr:row>
          <xdr:rowOff>38100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200-00002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Work Sans" pitchFamily="2"/>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482600</xdr:colOff>
          <xdr:row>118</xdr:row>
          <xdr:rowOff>127000</xdr:rowOff>
        </xdr:from>
        <xdr:to>
          <xdr:col>12</xdr:col>
          <xdr:colOff>2006600</xdr:colOff>
          <xdr:row>120</xdr:row>
          <xdr:rowOff>152400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2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a:p>
              <a:pPr algn="ctr" rtl="0">
                <a:defRPr sz="1000"/>
              </a:pPr>
              <a:endParaRPr lang="it-IT"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113</xdr:row>
          <xdr:rowOff>88900</xdr:rowOff>
        </xdr:from>
        <xdr:to>
          <xdr:col>6</xdr:col>
          <xdr:colOff>2019300</xdr:colOff>
          <xdr:row>115</xdr:row>
          <xdr:rowOff>88900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200-00002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116</xdr:row>
          <xdr:rowOff>12700</xdr:rowOff>
        </xdr:from>
        <xdr:to>
          <xdr:col>6</xdr:col>
          <xdr:colOff>2019300</xdr:colOff>
          <xdr:row>118</xdr:row>
          <xdr:rowOff>12700</xdr:rowOff>
        </xdr:to>
        <xdr:sp macro="" textlink="">
          <xdr:nvSpPr>
            <xdr:cNvPr id="5163" name="Button 43" hidden="1">
              <a:extLst>
                <a:ext uri="{63B3BB69-23CF-44E3-9099-C40C66FF867C}">
                  <a14:compatExt spid="_x0000_s5163"/>
                </a:ext>
                <a:ext uri="{FF2B5EF4-FFF2-40B4-BE49-F238E27FC236}">
                  <a16:creationId xmlns:a16="http://schemas.microsoft.com/office/drawing/2014/main" id="{00000000-0008-0000-0200-00002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118</xdr:row>
          <xdr:rowOff>88900</xdr:rowOff>
        </xdr:from>
        <xdr:to>
          <xdr:col>6</xdr:col>
          <xdr:colOff>2019300</xdr:colOff>
          <xdr:row>120</xdr:row>
          <xdr:rowOff>114300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123</xdr:row>
          <xdr:rowOff>88900</xdr:rowOff>
        </xdr:from>
        <xdr:to>
          <xdr:col>6</xdr:col>
          <xdr:colOff>2019300</xdr:colOff>
          <xdr:row>125</xdr:row>
          <xdr:rowOff>114300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200-00002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126</xdr:row>
          <xdr:rowOff>12700</xdr:rowOff>
        </xdr:from>
        <xdr:to>
          <xdr:col>6</xdr:col>
          <xdr:colOff>2019300</xdr:colOff>
          <xdr:row>128</xdr:row>
          <xdr:rowOff>38100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200-00002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Work Sans" pitchFamily="2"/>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482600</xdr:colOff>
          <xdr:row>128</xdr:row>
          <xdr:rowOff>127000</xdr:rowOff>
        </xdr:from>
        <xdr:to>
          <xdr:col>6</xdr:col>
          <xdr:colOff>2006600</xdr:colOff>
          <xdr:row>130</xdr:row>
          <xdr:rowOff>152400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200-00002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a:p>
              <a:pPr algn="ctr" rtl="0">
                <a:defRPr sz="1000"/>
              </a:pPr>
              <a:endParaRPr lang="it-IT"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123</xdr:row>
          <xdr:rowOff>88900</xdr:rowOff>
        </xdr:from>
        <xdr:to>
          <xdr:col>12</xdr:col>
          <xdr:colOff>2019300</xdr:colOff>
          <xdr:row>125</xdr:row>
          <xdr:rowOff>114300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200-00003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126</xdr:row>
          <xdr:rowOff>12700</xdr:rowOff>
        </xdr:from>
        <xdr:to>
          <xdr:col>12</xdr:col>
          <xdr:colOff>2019300</xdr:colOff>
          <xdr:row>128</xdr:row>
          <xdr:rowOff>38100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200-00003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Work Sans" pitchFamily="2"/>
                </a:rPr>
                <a:t>Pessimistic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482600</xdr:colOff>
          <xdr:row>128</xdr:row>
          <xdr:rowOff>127000</xdr:rowOff>
        </xdr:from>
        <xdr:to>
          <xdr:col>12</xdr:col>
          <xdr:colOff>2006600</xdr:colOff>
          <xdr:row>130</xdr:row>
          <xdr:rowOff>152400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200-00003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Optimistic Scenario</a:t>
              </a:r>
            </a:p>
            <a:p>
              <a:pPr algn="ctr" rtl="0">
                <a:defRPr sz="1000"/>
              </a:pPr>
              <a:endParaRPr lang="it-IT"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482600</xdr:colOff>
          <xdr:row>134</xdr:row>
          <xdr:rowOff>139700</xdr:rowOff>
        </xdr:from>
        <xdr:to>
          <xdr:col>6</xdr:col>
          <xdr:colOff>2019300</xdr:colOff>
          <xdr:row>136</xdr:row>
          <xdr:rowOff>165100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200-00003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All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141</xdr:row>
          <xdr:rowOff>114300</xdr:rowOff>
        </xdr:from>
        <xdr:to>
          <xdr:col>6</xdr:col>
          <xdr:colOff>2006600</xdr:colOff>
          <xdr:row>143</xdr:row>
          <xdr:rowOff>139700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200-00003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All Optimistic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138</xdr:row>
          <xdr:rowOff>25400</xdr:rowOff>
        </xdr:from>
        <xdr:to>
          <xdr:col>6</xdr:col>
          <xdr:colOff>2006600</xdr:colOff>
          <xdr:row>140</xdr:row>
          <xdr:rowOff>50800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200-00003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Calibri" pitchFamily="2" charset="0"/>
                  <a:cs typeface="Calibri" pitchFamily="2" charset="0"/>
                </a:rPr>
                <a:t>All Pessimistic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159564</xdr:colOff>
      <xdr:row>2</xdr:row>
      <xdr:rowOff>59205</xdr:rowOff>
    </xdr:from>
    <xdr:to>
      <xdr:col>0</xdr:col>
      <xdr:colOff>1279711</xdr:colOff>
      <xdr:row>4</xdr:row>
      <xdr:rowOff>139196</xdr:rowOff>
    </xdr:to>
    <xdr:pic>
      <xdr:nvPicPr>
        <xdr:cNvPr id="2" name="Immagine 3">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9564" y="440205"/>
          <a:ext cx="1120147" cy="714991"/>
        </a:xfrm>
        <a:prstGeom prst="rect">
          <a:avLst/>
        </a:prstGeom>
      </xdr:spPr>
    </xdr:pic>
    <xdr:clientData/>
  </xdr:twoCellAnchor>
  <xdr:twoCellAnchor editAs="oneCell">
    <xdr:from>
      <xdr:col>0</xdr:col>
      <xdr:colOff>1866516</xdr:colOff>
      <xdr:row>1</xdr:row>
      <xdr:rowOff>96212</xdr:rowOff>
    </xdr:from>
    <xdr:to>
      <xdr:col>1</xdr:col>
      <xdr:colOff>687206</xdr:colOff>
      <xdr:row>4</xdr:row>
      <xdr:rowOff>1667</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rcRect/>
        <a:stretch>
          <a:fillRect/>
        </a:stretch>
      </xdr:blipFill>
      <xdr:spPr bwMode="auto">
        <a:xfrm>
          <a:off x="1866516" y="286712"/>
          <a:ext cx="1092812" cy="7309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new bip">
  <a:themeElements>
    <a:clrScheme name="BIP Colors">
      <a:dk1>
        <a:sysClr val="windowText" lastClr="000000"/>
      </a:dk1>
      <a:lt1>
        <a:sysClr val="window" lastClr="FFFFFF"/>
      </a:lt1>
      <a:dk2>
        <a:srgbClr val="44546A"/>
      </a:dk2>
      <a:lt2>
        <a:srgbClr val="E7E6E6"/>
      </a:lt2>
      <a:accent1>
        <a:srgbClr val="0C2340"/>
      </a:accent1>
      <a:accent2>
        <a:srgbClr val="DA291C"/>
      </a:accent2>
      <a:accent3>
        <a:srgbClr val="6A97BE"/>
      </a:accent3>
      <a:accent4>
        <a:srgbClr val="B1D2E4"/>
      </a:accent4>
      <a:accent5>
        <a:srgbClr val="AEA5D1"/>
      </a:accent5>
      <a:accent6>
        <a:srgbClr val="A5D4C1"/>
      </a:accent6>
      <a:hlink>
        <a:srgbClr val="0563C1"/>
      </a:hlink>
      <a:folHlink>
        <a:srgbClr val="954F72"/>
      </a:folHlink>
    </a:clrScheme>
    <a:fontScheme name="Custom 8">
      <a:majorFont>
        <a:latin typeface="Work Sans"/>
        <a:ea typeface=""/>
        <a:cs typeface=""/>
      </a:majorFont>
      <a:minorFont>
        <a:latin typeface="Work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izologi.com/budgeting-right-for-change-management/"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vizologi.com/budgeting-right-for-change-managemen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6630E-A39B-437E-8861-56F2EB15DD00}">
  <sheetPr codeName="Sheet2"/>
  <dimension ref="A1:AG54"/>
  <sheetViews>
    <sheetView showGridLines="0" tabSelected="1" topLeftCell="A8" zoomScale="67" zoomScaleNormal="98" workbookViewId="0">
      <selection activeCell="K48" sqref="K48"/>
    </sheetView>
  </sheetViews>
  <sheetFormatPr baseColWidth="10" defaultColWidth="9.140625" defaultRowHeight="14" x14ac:dyDescent="0.2"/>
  <cols>
    <col min="1" max="1" width="43.140625" style="5" bestFit="1" customWidth="1"/>
    <col min="2" max="2" width="15.7109375" style="5" bestFit="1" customWidth="1"/>
    <col min="3" max="3" width="10.85546875" style="5" customWidth="1"/>
    <col min="4" max="4" width="10.7109375" style="5" customWidth="1"/>
    <col min="5" max="5" width="50.28515625" style="5" bestFit="1" customWidth="1"/>
    <col min="6" max="6" width="14.7109375" style="5" bestFit="1" customWidth="1"/>
    <col min="7" max="7" width="21.42578125" style="5" customWidth="1"/>
    <col min="8" max="8" width="10.7109375" style="5" customWidth="1"/>
    <col min="9" max="9" width="38.85546875" style="5" bestFit="1" customWidth="1"/>
    <col min="10" max="10" width="11.42578125" style="5" bestFit="1" customWidth="1"/>
    <col min="11" max="11" width="11.28515625" style="5" bestFit="1" customWidth="1"/>
    <col min="12" max="12" width="11.42578125" style="5" bestFit="1" customWidth="1"/>
    <col min="13" max="13" width="9.140625" style="5"/>
    <col min="14" max="15" width="10.5703125" style="5" bestFit="1" customWidth="1"/>
    <col min="16" max="16384" width="9.140625" style="5"/>
  </cols>
  <sheetData>
    <row r="1" spans="1:33" ht="15" thickTop="1" x14ac:dyDescent="0.2">
      <c r="A1" s="2"/>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4"/>
    </row>
    <row r="2" spans="1:33" x14ac:dyDescent="0.2">
      <c r="A2" s="6"/>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8"/>
    </row>
    <row r="3" spans="1:33" ht="28" thickBot="1" x14ac:dyDescent="0.35">
      <c r="A3" s="6"/>
      <c r="B3" s="7"/>
      <c r="C3" s="9" t="s">
        <v>49</v>
      </c>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1"/>
    </row>
    <row r="4" spans="1:33" ht="22" x14ac:dyDescent="0.25">
      <c r="A4" s="6"/>
      <c r="B4" s="7"/>
      <c r="C4" s="12" t="s">
        <v>50</v>
      </c>
      <c r="D4" s="7"/>
      <c r="E4" s="7"/>
      <c r="F4" s="7"/>
      <c r="G4" s="7"/>
      <c r="H4" s="7"/>
      <c r="I4" s="7"/>
      <c r="J4" s="7"/>
      <c r="K4" s="7"/>
      <c r="L4" s="7"/>
      <c r="M4" s="7"/>
      <c r="N4" s="7"/>
      <c r="O4" s="7"/>
      <c r="P4" s="7"/>
      <c r="Q4" s="7"/>
      <c r="R4" s="7"/>
      <c r="S4" s="7"/>
      <c r="T4" s="7"/>
      <c r="U4" s="7"/>
      <c r="V4" s="7"/>
      <c r="W4" s="7"/>
      <c r="X4" s="7"/>
      <c r="Y4" s="7"/>
      <c r="Z4" s="7"/>
      <c r="AA4" s="7"/>
      <c r="AB4" s="7"/>
      <c r="AC4" s="7"/>
      <c r="AD4" s="7"/>
      <c r="AE4" s="7"/>
      <c r="AF4" s="7"/>
      <c r="AG4" s="8"/>
    </row>
    <row r="5" spans="1:33" x14ac:dyDescent="0.2">
      <c r="A5" s="6"/>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8"/>
    </row>
    <row r="6" spans="1:33" x14ac:dyDescent="0.2">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8"/>
    </row>
    <row r="8" spans="1:33" s="26" customFormat="1" ht="17" x14ac:dyDescent="0.2">
      <c r="A8" s="23" t="s">
        <v>20</v>
      </c>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5"/>
    </row>
    <row r="11" spans="1:33" ht="15" thickBot="1" x14ac:dyDescent="0.25">
      <c r="A11" s="16" t="s">
        <v>21</v>
      </c>
      <c r="B11" s="16"/>
      <c r="C11" s="16"/>
      <c r="E11" s="16" t="s">
        <v>28</v>
      </c>
      <c r="F11" s="16"/>
      <c r="G11" s="16"/>
    </row>
    <row r="12" spans="1:33" x14ac:dyDescent="0.2">
      <c r="A12" s="5" t="s">
        <v>22</v>
      </c>
      <c r="B12" s="5">
        <v>80000</v>
      </c>
      <c r="E12" s="5" t="s">
        <v>22</v>
      </c>
      <c r="F12" s="5">
        <v>20000</v>
      </c>
    </row>
    <row r="13" spans="1:33" x14ac:dyDescent="0.2">
      <c r="A13" s="5" t="s">
        <v>41</v>
      </c>
      <c r="B13" s="20">
        <v>0.02</v>
      </c>
      <c r="E13" s="5" t="s">
        <v>41</v>
      </c>
      <c r="F13" s="22">
        <v>3.5000000000000003E-2</v>
      </c>
    </row>
    <row r="15" spans="1:33" x14ac:dyDescent="0.2">
      <c r="A15" s="1" t="s">
        <v>23</v>
      </c>
      <c r="B15" s="1" t="s">
        <v>25</v>
      </c>
      <c r="C15" s="1" t="s">
        <v>27</v>
      </c>
      <c r="E15" s="1" t="s">
        <v>23</v>
      </c>
      <c r="F15" s="1" t="s">
        <v>25</v>
      </c>
      <c r="G15" s="1" t="s">
        <v>27</v>
      </c>
    </row>
    <row r="16" spans="1:33" x14ac:dyDescent="0.2">
      <c r="A16" s="5" t="s">
        <v>24</v>
      </c>
      <c r="B16" s="5">
        <v>120000</v>
      </c>
      <c r="C16" s="59">
        <v>90</v>
      </c>
      <c r="E16" s="5" t="s">
        <v>24</v>
      </c>
      <c r="F16" s="5">
        <v>25000</v>
      </c>
      <c r="G16" s="59">
        <v>100</v>
      </c>
    </row>
    <row r="17" spans="1:7" x14ac:dyDescent="0.2">
      <c r="A17" s="5" t="s">
        <v>16</v>
      </c>
      <c r="B17" s="5">
        <v>9000</v>
      </c>
      <c r="C17" s="59">
        <v>500</v>
      </c>
      <c r="E17" s="5" t="s">
        <v>16</v>
      </c>
      <c r="F17" s="5">
        <v>2000</v>
      </c>
      <c r="G17" s="59">
        <v>600</v>
      </c>
    </row>
    <row r="18" spans="1:7" x14ac:dyDescent="0.2">
      <c r="A18" s="5" t="s">
        <v>17</v>
      </c>
      <c r="B18" s="5">
        <v>21333</v>
      </c>
      <c r="C18" s="59">
        <v>150</v>
      </c>
      <c r="E18" s="5" t="s">
        <v>17</v>
      </c>
      <c r="F18" s="5">
        <v>6800</v>
      </c>
      <c r="G18" s="59">
        <v>140</v>
      </c>
    </row>
    <row r="19" spans="1:7" x14ac:dyDescent="0.2">
      <c r="A19" s="5" t="s">
        <v>26</v>
      </c>
      <c r="B19" s="5">
        <v>10000</v>
      </c>
      <c r="C19" s="59">
        <v>1500</v>
      </c>
      <c r="E19" s="5" t="s">
        <v>26</v>
      </c>
      <c r="F19" s="5">
        <v>4300</v>
      </c>
      <c r="G19" s="59">
        <v>1400</v>
      </c>
    </row>
    <row r="20" spans="1:7" x14ac:dyDescent="0.2">
      <c r="E20" s="5" t="s">
        <v>29</v>
      </c>
      <c r="F20" s="5">
        <v>6000</v>
      </c>
      <c r="G20" s="59">
        <v>110</v>
      </c>
    </row>
    <row r="21" spans="1:7" x14ac:dyDescent="0.2">
      <c r="E21" s="5" t="s">
        <v>30</v>
      </c>
      <c r="F21" s="5">
        <v>850</v>
      </c>
      <c r="G21" s="59">
        <v>150</v>
      </c>
    </row>
    <row r="22" spans="1:7" x14ac:dyDescent="0.2">
      <c r="E22" s="5" t="s">
        <v>31</v>
      </c>
      <c r="F22" s="5">
        <v>5000</v>
      </c>
      <c r="G22" s="59">
        <v>30</v>
      </c>
    </row>
    <row r="23" spans="1:7" x14ac:dyDescent="0.2">
      <c r="E23" s="5" t="s">
        <v>32</v>
      </c>
      <c r="F23" s="5">
        <v>1500</v>
      </c>
      <c r="G23" s="59">
        <v>550</v>
      </c>
    </row>
    <row r="25" spans="1:7" x14ac:dyDescent="0.2">
      <c r="A25" s="1" t="s">
        <v>33</v>
      </c>
      <c r="B25" s="1" t="s">
        <v>34</v>
      </c>
      <c r="E25" s="1" t="s">
        <v>33</v>
      </c>
      <c r="F25" s="1" t="s">
        <v>34</v>
      </c>
    </row>
    <row r="26" spans="1:7" x14ac:dyDescent="0.2">
      <c r="A26" s="5" t="s">
        <v>35</v>
      </c>
      <c r="B26" s="59">
        <v>9000000</v>
      </c>
      <c r="E26" s="5" t="s">
        <v>35</v>
      </c>
      <c r="F26" s="59">
        <v>4345000</v>
      </c>
    </row>
    <row r="27" spans="1:7" x14ac:dyDescent="0.2">
      <c r="A27" s="48" t="s">
        <v>62</v>
      </c>
      <c r="B27" s="64">
        <f>0.3*B26</f>
        <v>2700000</v>
      </c>
      <c r="E27" s="48" t="s">
        <v>65</v>
      </c>
      <c r="F27" s="64">
        <f>0.5*F26</f>
        <v>2172500</v>
      </c>
    </row>
    <row r="28" spans="1:7" x14ac:dyDescent="0.2">
      <c r="A28" s="48" t="s">
        <v>63</v>
      </c>
      <c r="B28" s="64">
        <f>0.7*B26</f>
        <v>6300000</v>
      </c>
      <c r="E28" s="48" t="s">
        <v>67</v>
      </c>
      <c r="F28" s="64">
        <f>0.44*F26</f>
        <v>1911800</v>
      </c>
    </row>
    <row r="29" spans="1:7" x14ac:dyDescent="0.2">
      <c r="A29" s="5" t="s">
        <v>36</v>
      </c>
      <c r="B29" s="59">
        <v>200000</v>
      </c>
      <c r="E29" s="48" t="s">
        <v>66</v>
      </c>
      <c r="F29" s="65">
        <f>0.06*F26</f>
        <v>260700</v>
      </c>
    </row>
    <row r="30" spans="1:7" x14ac:dyDescent="0.2">
      <c r="A30" s="5" t="s">
        <v>64</v>
      </c>
      <c r="B30" s="59">
        <v>1500000</v>
      </c>
      <c r="E30" s="5" t="s">
        <v>36</v>
      </c>
      <c r="F30" s="59">
        <v>125000</v>
      </c>
    </row>
    <row r="31" spans="1:7" x14ac:dyDescent="0.2">
      <c r="A31" s="5" t="s">
        <v>45</v>
      </c>
      <c r="B31" s="59">
        <v>13000000</v>
      </c>
      <c r="E31" s="5" t="s">
        <v>64</v>
      </c>
      <c r="F31" s="59">
        <v>650000</v>
      </c>
    </row>
    <row r="32" spans="1:7" x14ac:dyDescent="0.2">
      <c r="A32" s="48" t="s">
        <v>46</v>
      </c>
      <c r="B32" s="64">
        <f>0.8*B31</f>
        <v>10400000</v>
      </c>
      <c r="E32" s="5" t="s">
        <v>37</v>
      </c>
      <c r="F32" s="59">
        <v>1865175</v>
      </c>
    </row>
    <row r="33" spans="1:11" x14ac:dyDescent="0.2">
      <c r="A33" s="48" t="s">
        <v>47</v>
      </c>
      <c r="B33" s="64">
        <f>2.5%*B31</f>
        <v>325000</v>
      </c>
      <c r="E33" s="5" t="s">
        <v>38</v>
      </c>
      <c r="F33" s="59">
        <v>2500000</v>
      </c>
    </row>
    <row r="34" spans="1:11" x14ac:dyDescent="0.2">
      <c r="A34" s="48" t="s">
        <v>48</v>
      </c>
      <c r="B34" s="64">
        <f>B31-B32-B33</f>
        <v>2275000</v>
      </c>
      <c r="E34" s="5" t="s">
        <v>39</v>
      </c>
      <c r="F34" s="59">
        <v>600000</v>
      </c>
    </row>
    <row r="35" spans="1:11" x14ac:dyDescent="0.2">
      <c r="A35" s="5" t="s">
        <v>38</v>
      </c>
      <c r="B35" s="59">
        <v>5360000</v>
      </c>
      <c r="E35" s="5" t="s">
        <v>40</v>
      </c>
      <c r="F35" s="59">
        <v>1500000</v>
      </c>
    </row>
    <row r="36" spans="1:11" x14ac:dyDescent="0.2">
      <c r="A36" s="5" t="s">
        <v>39</v>
      </c>
      <c r="B36" s="59">
        <v>500000</v>
      </c>
    </row>
    <row r="37" spans="1:11" x14ac:dyDescent="0.2">
      <c r="A37" s="5" t="s">
        <v>40</v>
      </c>
      <c r="B37" s="59">
        <v>800000</v>
      </c>
    </row>
    <row r="39" spans="1:11" x14ac:dyDescent="0.2">
      <c r="A39" s="1" t="s">
        <v>73</v>
      </c>
      <c r="B39" s="1" t="s">
        <v>74</v>
      </c>
      <c r="E39" s="1" t="s">
        <v>73</v>
      </c>
      <c r="F39" s="1" t="s">
        <v>74</v>
      </c>
    </row>
    <row r="40" spans="1:11" x14ac:dyDescent="0.2">
      <c r="A40" s="69" t="s">
        <v>68</v>
      </c>
      <c r="B40" s="69">
        <v>25</v>
      </c>
      <c r="E40" s="5" t="s">
        <v>68</v>
      </c>
      <c r="F40" s="5">
        <v>15</v>
      </c>
    </row>
    <row r="41" spans="1:11" x14ac:dyDescent="0.2">
      <c r="A41" s="69" t="s">
        <v>69</v>
      </c>
      <c r="B41" s="69">
        <v>20</v>
      </c>
      <c r="E41" s="5" t="s">
        <v>72</v>
      </c>
      <c r="F41" s="5">
        <v>20</v>
      </c>
    </row>
    <row r="42" spans="1:11" x14ac:dyDescent="0.2">
      <c r="A42" s="69" t="s">
        <v>70</v>
      </c>
      <c r="B42" s="69">
        <v>120</v>
      </c>
      <c r="E42" s="5" t="s">
        <v>70</v>
      </c>
      <c r="F42" s="5">
        <v>35</v>
      </c>
    </row>
    <row r="43" spans="1:11" x14ac:dyDescent="0.2">
      <c r="E43" s="5" t="s">
        <v>82</v>
      </c>
      <c r="F43" s="5">
        <v>7</v>
      </c>
    </row>
    <row r="46" spans="1:11" ht="15" thickBot="1" x14ac:dyDescent="0.25">
      <c r="A46" s="16" t="s">
        <v>134</v>
      </c>
      <c r="B46" s="16"/>
      <c r="C46" s="16"/>
      <c r="E46" s="16" t="s">
        <v>135</v>
      </c>
      <c r="F46" s="16"/>
      <c r="G46" s="16"/>
      <c r="I46" s="16" t="s">
        <v>160</v>
      </c>
      <c r="J46" s="16"/>
      <c r="K46" s="16"/>
    </row>
    <row r="47" spans="1:11" x14ac:dyDescent="0.2">
      <c r="A47" s="5" t="s">
        <v>136</v>
      </c>
      <c r="B47" s="63">
        <f>B35/SUM(B16:B19)</f>
        <v>33.430422932272208</v>
      </c>
      <c r="E47" s="5" t="s">
        <v>136</v>
      </c>
      <c r="F47" s="63">
        <f>F35/SUM(F16:F23)</f>
        <v>29.154518950437318</v>
      </c>
      <c r="I47" s="34" t="s">
        <v>161</v>
      </c>
    </row>
    <row r="48" spans="1:11" x14ac:dyDescent="0.2">
      <c r="A48" s="5" t="s">
        <v>141</v>
      </c>
      <c r="B48" s="63">
        <f>(F35*SUM(B40:B42))/SUM(F40:F43)</f>
        <v>3214285.7142857141</v>
      </c>
      <c r="E48" s="5" t="s">
        <v>171</v>
      </c>
      <c r="F48" s="5">
        <f>F18/F41</f>
        <v>340</v>
      </c>
      <c r="I48" s="5" t="str">
        <f>E16</f>
        <v>Routine check-ups</v>
      </c>
      <c r="J48" s="63">
        <f>(C16*B16+G16*F16)/(F16+B16)</f>
        <v>91.724137931034477</v>
      </c>
      <c r="K48" s="5" t="s">
        <v>162</v>
      </c>
    </row>
    <row r="49" spans="1:11" x14ac:dyDescent="0.2">
      <c r="B49" s="63">
        <v>3000000</v>
      </c>
      <c r="C49" s="5" t="s">
        <v>142</v>
      </c>
      <c r="F49" s="5">
        <v>300</v>
      </c>
      <c r="G49" s="5" t="s">
        <v>142</v>
      </c>
      <c r="I49" s="5" t="str">
        <f t="shared" ref="I49:I51" si="0">E17</f>
        <v>Basic surgeries</v>
      </c>
      <c r="J49" s="63">
        <f>(C17*B17+G17*F17)/(F17+B17)</f>
        <v>518.18181818181813</v>
      </c>
      <c r="K49" s="5" t="s">
        <v>130</v>
      </c>
    </row>
    <row r="50" spans="1:11" x14ac:dyDescent="0.2">
      <c r="A50" s="5" t="s">
        <v>165</v>
      </c>
      <c r="B50" s="63">
        <f>B32/(SUM(B18:B19))</f>
        <v>331.91842466409219</v>
      </c>
      <c r="E50" s="5" t="s">
        <v>172</v>
      </c>
      <c r="F50" s="5">
        <f>F19/F41</f>
        <v>215</v>
      </c>
      <c r="I50" s="5" t="str">
        <f t="shared" si="0"/>
        <v>Specialist check-ups</v>
      </c>
      <c r="J50" s="63">
        <f>(C18*B18+G18*F18)/(F18+B18)</f>
        <v>147.58290975011553</v>
      </c>
      <c r="K50" s="5" t="s">
        <v>130</v>
      </c>
    </row>
    <row r="51" spans="1:11" x14ac:dyDescent="0.2">
      <c r="A51" s="5" t="s">
        <v>168</v>
      </c>
      <c r="B51" s="63">
        <f>B29/SUM(B40:B44)</f>
        <v>1212.121212121212</v>
      </c>
      <c r="F51" s="5">
        <v>200</v>
      </c>
      <c r="G51" s="5" t="s">
        <v>142</v>
      </c>
      <c r="I51" s="5" t="str">
        <f t="shared" si="0"/>
        <v>Specialist surgeries</v>
      </c>
      <c r="J51" s="63">
        <f>(C19*B19+G19*F19)/(F19+B19)</f>
        <v>1469.93006993007</v>
      </c>
      <c r="K51" s="5" t="s">
        <v>130</v>
      </c>
    </row>
    <row r="52" spans="1:11" x14ac:dyDescent="0.2">
      <c r="E52" s="5" t="s">
        <v>168</v>
      </c>
      <c r="F52" s="63">
        <f>F30/SUM(F40:F43)</f>
        <v>1623.3766233766235</v>
      </c>
      <c r="J52" s="63"/>
    </row>
    <row r="53" spans="1:11" x14ac:dyDescent="0.2">
      <c r="B53" s="63"/>
      <c r="E53" s="88"/>
    </row>
    <row r="54" spans="1:11" x14ac:dyDescent="0.2">
      <c r="E54" s="63"/>
    </row>
  </sheetData>
  <phoneticPr fontId="9"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23DBA-D72E-8E4A-98FB-27995EC5364D}">
  <sheetPr codeName="Foglio1"/>
  <dimension ref="A1:AM189"/>
  <sheetViews>
    <sheetView showGridLines="0" zoomScale="34" zoomScaleNormal="112" workbookViewId="0">
      <selection activeCell="AQ114" sqref="AQ114"/>
    </sheetView>
  </sheetViews>
  <sheetFormatPr baseColWidth="10" defaultColWidth="9.140625" defaultRowHeight="14" x14ac:dyDescent="0.2"/>
  <cols>
    <col min="1" max="1" width="52" style="5" customWidth="1"/>
    <col min="2" max="2" width="18.28515625" style="5" bestFit="1" customWidth="1"/>
    <col min="3" max="3" width="14.7109375" style="5" customWidth="1"/>
    <col min="4" max="4" width="15.28515625" style="5" customWidth="1"/>
    <col min="5" max="5" width="15" style="5" customWidth="1"/>
    <col min="6" max="6" width="20" style="5" customWidth="1"/>
    <col min="7" max="7" width="49.28515625" style="5" bestFit="1" customWidth="1"/>
    <col min="8" max="8" width="17.42578125" style="5" customWidth="1"/>
    <col min="9" max="9" width="17.140625" style="5" customWidth="1"/>
    <col min="10" max="12" width="16.42578125" style="5" customWidth="1"/>
    <col min="13" max="13" width="48.7109375" style="5" customWidth="1"/>
    <col min="14" max="15" width="14.5703125" style="5" customWidth="1"/>
    <col min="16" max="16" width="16" style="5" customWidth="1"/>
    <col min="17" max="17" width="14.5703125" style="5" customWidth="1"/>
    <col min="18" max="18" width="14.85546875" style="5" bestFit="1" customWidth="1"/>
    <col min="19" max="19" width="12.85546875" style="5" bestFit="1" customWidth="1"/>
    <col min="20" max="36" width="9.140625" style="5"/>
    <col min="37" max="37" width="1.140625" style="5" customWidth="1"/>
    <col min="38" max="16384" width="9.140625" style="5"/>
  </cols>
  <sheetData>
    <row r="1" spans="1:37" ht="15" thickTop="1" x14ac:dyDescent="0.2">
      <c r="A1" s="2"/>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4"/>
    </row>
    <row r="2" spans="1:37" ht="15" thickBot="1" x14ac:dyDescent="0.25">
      <c r="A2" s="6"/>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8"/>
      <c r="AK2" s="11"/>
    </row>
    <row r="3" spans="1:37" ht="28" thickBot="1" x14ac:dyDescent="0.35">
      <c r="A3" s="6"/>
      <c r="B3" s="7"/>
      <c r="C3" s="9" t="s">
        <v>211</v>
      </c>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1"/>
    </row>
    <row r="4" spans="1:37" ht="22" x14ac:dyDescent="0.25">
      <c r="A4" s="6"/>
      <c r="B4" s="7"/>
      <c r="C4" s="12" t="s">
        <v>50</v>
      </c>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8"/>
    </row>
    <row r="5" spans="1:37" x14ac:dyDescent="0.2">
      <c r="A5" s="6"/>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8"/>
    </row>
    <row r="6" spans="1:37" x14ac:dyDescent="0.2">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8"/>
    </row>
    <row r="7" spans="1:37" x14ac:dyDescent="0.2">
      <c r="A7" s="27"/>
    </row>
    <row r="8" spans="1:37" x14ac:dyDescent="0.2">
      <c r="A8" s="28"/>
      <c r="B8" s="13" t="s">
        <v>3</v>
      </c>
    </row>
    <row r="9" spans="1:37" x14ac:dyDescent="0.2">
      <c r="A9" s="29"/>
      <c r="B9" s="13" t="s">
        <v>4</v>
      </c>
    </row>
    <row r="10" spans="1:37" x14ac:dyDescent="0.2">
      <c r="A10" s="27"/>
    </row>
    <row r="11" spans="1:37" s="51" customFormat="1" ht="15" x14ac:dyDescent="0.2">
      <c r="A11" s="49" t="s">
        <v>6</v>
      </c>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row>
    <row r="12" spans="1:37" ht="22" x14ac:dyDescent="0.25">
      <c r="A12" s="173" t="s">
        <v>102</v>
      </c>
      <c r="B12" s="173"/>
      <c r="C12" s="173"/>
      <c r="D12" s="173"/>
      <c r="E12" s="173"/>
      <c r="F12" s="14"/>
      <c r="G12" s="173" t="s">
        <v>103</v>
      </c>
      <c r="H12" s="173"/>
      <c r="I12" s="173"/>
      <c r="J12" s="173"/>
      <c r="K12" s="173"/>
      <c r="M12" s="173" t="s">
        <v>104</v>
      </c>
      <c r="N12" s="173"/>
      <c r="O12" s="173"/>
      <c r="P12" s="173"/>
      <c r="Q12" s="173"/>
    </row>
    <row r="13" spans="1:37" ht="15" thickBot="1" x14ac:dyDescent="0.25">
      <c r="A13" s="16" t="s">
        <v>53</v>
      </c>
      <c r="B13" s="16"/>
      <c r="C13" s="16"/>
      <c r="D13" s="16"/>
      <c r="E13" s="16"/>
      <c r="G13" s="16" t="s">
        <v>51</v>
      </c>
      <c r="H13" s="16"/>
      <c r="I13" s="16"/>
      <c r="J13" s="16"/>
      <c r="K13" s="16"/>
      <c r="L13" s="1"/>
      <c r="M13" s="16" t="s">
        <v>52</v>
      </c>
      <c r="N13" s="16"/>
      <c r="O13" s="16"/>
      <c r="P13" s="16"/>
      <c r="Q13" s="16"/>
    </row>
    <row r="14" spans="1:37" x14ac:dyDescent="0.2">
      <c r="B14" s="30">
        <v>2024</v>
      </c>
      <c r="C14" s="30">
        <v>2025</v>
      </c>
      <c r="D14" s="30">
        <v>2026</v>
      </c>
      <c r="E14" s="30">
        <v>2027</v>
      </c>
      <c r="H14" s="30">
        <v>2025</v>
      </c>
      <c r="I14" s="30">
        <v>2026</v>
      </c>
      <c r="J14" s="30">
        <v>2027</v>
      </c>
      <c r="K14" s="30">
        <v>2028</v>
      </c>
      <c r="N14" s="30">
        <v>2024</v>
      </c>
      <c r="O14" s="30">
        <v>2025</v>
      </c>
      <c r="P14" s="30">
        <v>2026</v>
      </c>
      <c r="Q14" s="30">
        <v>2027</v>
      </c>
    </row>
    <row r="15" spans="1:37" x14ac:dyDescent="0.2">
      <c r="A15" s="1" t="s">
        <v>12</v>
      </c>
      <c r="B15" s="17">
        <f>'Input Data'!B12</f>
        <v>80000</v>
      </c>
      <c r="C15" s="18">
        <f>B15*(1+C16)</f>
        <v>81600</v>
      </c>
      <c r="D15" s="18">
        <f>C15*(1+D16)</f>
        <v>83232</v>
      </c>
      <c r="E15" s="18">
        <f>D15*(1+E16)</f>
        <v>84896.639999999999</v>
      </c>
      <c r="G15" s="1" t="s">
        <v>12</v>
      </c>
      <c r="H15" s="17">
        <f>'Input Data'!F12</f>
        <v>20000</v>
      </c>
      <c r="I15" s="18">
        <f>H15*(1+I16)</f>
        <v>20700</v>
      </c>
      <c r="J15" s="18">
        <f t="shared" ref="J15:K15" si="0">I15*(1+J16)</f>
        <v>21424.5</v>
      </c>
      <c r="K15" s="18">
        <f t="shared" si="0"/>
        <v>22174.357499999998</v>
      </c>
      <c r="M15" s="1" t="s">
        <v>12</v>
      </c>
      <c r="N15" s="18">
        <f>B15+H15</f>
        <v>100000</v>
      </c>
      <c r="O15" s="18">
        <f>C15+I15</f>
        <v>102300</v>
      </c>
      <c r="P15" s="18">
        <f>D15+J15</f>
        <v>104656.5</v>
      </c>
      <c r="Q15" s="18">
        <f>E15+K15</f>
        <v>107070.9975</v>
      </c>
    </row>
    <row r="16" spans="1:37" x14ac:dyDescent="0.2">
      <c r="A16" s="48" t="s">
        <v>13</v>
      </c>
      <c r="B16" s="40"/>
      <c r="C16" s="19">
        <f>'Input Data'!$B$13</f>
        <v>0.02</v>
      </c>
      <c r="D16" s="19">
        <f>'Input Data'!$B$13</f>
        <v>0.02</v>
      </c>
      <c r="E16" s="19">
        <f>'Input Data'!$B$13</f>
        <v>0.02</v>
      </c>
      <c r="G16" s="48" t="s">
        <v>13</v>
      </c>
      <c r="H16" s="40"/>
      <c r="I16" s="37">
        <f>'Input Data'!$F$13</f>
        <v>3.5000000000000003E-2</v>
      </c>
      <c r="J16" s="37">
        <f>'Input Data'!$F$13</f>
        <v>3.5000000000000003E-2</v>
      </c>
      <c r="K16" s="37">
        <f>'Input Data'!$F$13</f>
        <v>3.5000000000000003E-2</v>
      </c>
      <c r="L16" s="21"/>
      <c r="M16" s="48" t="s">
        <v>13</v>
      </c>
      <c r="N16" s="32"/>
      <c r="O16" s="41">
        <f>O15/N15-1</f>
        <v>2.2999999999999909E-2</v>
      </c>
      <c r="P16" s="41">
        <f>P15/O15-1</f>
        <v>2.3035190615835699E-2</v>
      </c>
      <c r="Q16" s="41">
        <f>Q15/P15-1</f>
        <v>2.3070688394891903E-2</v>
      </c>
      <c r="R16" s="32"/>
    </row>
    <row r="17" spans="1:18" x14ac:dyDescent="0.2">
      <c r="A17" s="1"/>
      <c r="B17" s="40"/>
      <c r="C17" s="40"/>
      <c r="D17" s="40"/>
      <c r="E17" s="40"/>
      <c r="G17" s="1"/>
      <c r="H17" s="40"/>
      <c r="I17" s="40"/>
      <c r="J17" s="40"/>
      <c r="K17" s="40"/>
      <c r="L17" s="21"/>
      <c r="M17" s="1"/>
      <c r="N17" s="43"/>
      <c r="O17" s="43"/>
      <c r="P17" s="43"/>
      <c r="Q17" s="43"/>
      <c r="R17" s="32"/>
    </row>
    <row r="18" spans="1:18" ht="15" thickBot="1" x14ac:dyDescent="0.25">
      <c r="A18" s="16" t="s">
        <v>54</v>
      </c>
      <c r="B18" s="16"/>
      <c r="C18" s="16"/>
      <c r="D18" s="16"/>
      <c r="E18" s="16"/>
      <c r="G18" s="16" t="s">
        <v>71</v>
      </c>
      <c r="H18" s="16"/>
      <c r="I18" s="16"/>
      <c r="J18" s="16"/>
      <c r="K18" s="16"/>
      <c r="L18" s="21"/>
      <c r="M18" s="16" t="s">
        <v>95</v>
      </c>
      <c r="N18" s="16"/>
      <c r="O18" s="16"/>
      <c r="P18" s="16"/>
      <c r="Q18" s="16"/>
      <c r="R18" s="32"/>
    </row>
    <row r="19" spans="1:18" x14ac:dyDescent="0.2">
      <c r="B19" s="30">
        <v>2024</v>
      </c>
      <c r="C19" s="30">
        <v>2025</v>
      </c>
      <c r="D19" s="30">
        <v>2026</v>
      </c>
      <c r="E19" s="30">
        <v>2027</v>
      </c>
      <c r="H19" s="30">
        <v>2024</v>
      </c>
      <c r="I19" s="30">
        <v>2025</v>
      </c>
      <c r="J19" s="30">
        <v>2026</v>
      </c>
      <c r="K19" s="30">
        <v>2027</v>
      </c>
      <c r="L19" s="21"/>
      <c r="N19" s="30">
        <v>2024</v>
      </c>
      <c r="O19" s="30">
        <v>2025</v>
      </c>
      <c r="P19" s="30">
        <v>2026</v>
      </c>
      <c r="Q19" s="30">
        <v>2027</v>
      </c>
      <c r="R19" s="32"/>
    </row>
    <row r="20" spans="1:18" x14ac:dyDescent="0.2">
      <c r="A20" s="1" t="s">
        <v>55</v>
      </c>
      <c r="B20" s="30"/>
      <c r="C20" s="30"/>
      <c r="D20" s="30"/>
      <c r="E20" s="30"/>
      <c r="G20" s="1" t="s">
        <v>55</v>
      </c>
      <c r="H20" s="30"/>
      <c r="I20" s="30"/>
      <c r="J20" s="30"/>
      <c r="K20" s="30"/>
      <c r="L20" s="21"/>
      <c r="M20" s="1" t="s">
        <v>55</v>
      </c>
      <c r="N20" s="30"/>
      <c r="O20" s="30"/>
      <c r="P20" s="30"/>
      <c r="Q20" s="30"/>
      <c r="R20" s="32"/>
    </row>
    <row r="21" spans="1:18" x14ac:dyDescent="0.2">
      <c r="A21" s="5" t="s">
        <v>24</v>
      </c>
      <c r="B21" s="17">
        <f>'Input Data'!B16</f>
        <v>120000</v>
      </c>
      <c r="C21" s="18">
        <f t="shared" ref="C21:E24" si="1">B21*(1+$B$25)</f>
        <v>122400</v>
      </c>
      <c r="D21" s="18">
        <f t="shared" si="1"/>
        <v>124848</v>
      </c>
      <c r="E21" s="18">
        <f t="shared" si="1"/>
        <v>127344.96000000001</v>
      </c>
      <c r="G21" s="5" t="s">
        <v>24</v>
      </c>
      <c r="H21" s="17">
        <f>'Input Data'!F16</f>
        <v>25000</v>
      </c>
      <c r="I21" s="18">
        <f t="shared" ref="I21:K23" si="2">H21*(1+$H$26)</f>
        <v>25874.999999999996</v>
      </c>
      <c r="J21" s="18">
        <f t="shared" si="2"/>
        <v>26780.624999999993</v>
      </c>
      <c r="K21" s="18">
        <f t="shared" si="2"/>
        <v>27717.946874999991</v>
      </c>
      <c r="L21" s="21"/>
      <c r="M21" s="5" t="s">
        <v>24</v>
      </c>
      <c r="N21" s="18">
        <f>B21+H21</f>
        <v>145000</v>
      </c>
      <c r="O21" s="18">
        <f>C21+I21</f>
        <v>148275</v>
      </c>
      <c r="P21" s="18">
        <f>D21+J21</f>
        <v>151628.625</v>
      </c>
      <c r="Q21" s="18">
        <f>E21+K21</f>
        <v>155062.90687499999</v>
      </c>
      <c r="R21" s="32"/>
    </row>
    <row r="22" spans="1:18" x14ac:dyDescent="0.2">
      <c r="A22" s="5" t="s">
        <v>16</v>
      </c>
      <c r="B22" s="17">
        <f>'Input Data'!B17</f>
        <v>9000</v>
      </c>
      <c r="C22" s="18">
        <f t="shared" si="1"/>
        <v>9180</v>
      </c>
      <c r="D22" s="18">
        <f t="shared" si="1"/>
        <v>9363.6</v>
      </c>
      <c r="E22" s="18">
        <f t="shared" si="1"/>
        <v>9550.8720000000012</v>
      </c>
      <c r="G22" s="5" t="s">
        <v>16</v>
      </c>
      <c r="H22" s="17">
        <f>'Input Data'!F17</f>
        <v>2000</v>
      </c>
      <c r="I22" s="18">
        <f t="shared" si="2"/>
        <v>2070</v>
      </c>
      <c r="J22" s="18">
        <f t="shared" si="2"/>
        <v>2142.4499999999998</v>
      </c>
      <c r="K22" s="18">
        <f t="shared" si="2"/>
        <v>2217.4357499999996</v>
      </c>
      <c r="L22" s="21"/>
      <c r="M22" s="5" t="s">
        <v>16</v>
      </c>
      <c r="N22" s="18">
        <f>B22+H22</f>
        <v>11000</v>
      </c>
      <c r="O22" s="18">
        <f t="shared" ref="O22:Q24" si="3">N22*(1+$H$26)</f>
        <v>11385</v>
      </c>
      <c r="P22" s="18">
        <f t="shared" si="3"/>
        <v>11783.474999999999</v>
      </c>
      <c r="Q22" s="18">
        <f t="shared" si="3"/>
        <v>12195.896624999998</v>
      </c>
      <c r="R22" s="32"/>
    </row>
    <row r="23" spans="1:18" x14ac:dyDescent="0.2">
      <c r="A23" s="5" t="s">
        <v>17</v>
      </c>
      <c r="B23" s="17">
        <f>'Input Data'!B18</f>
        <v>21333</v>
      </c>
      <c r="C23" s="18">
        <f t="shared" si="1"/>
        <v>21759.66</v>
      </c>
      <c r="D23" s="18">
        <f t="shared" si="1"/>
        <v>22194.853200000001</v>
      </c>
      <c r="E23" s="18">
        <f t="shared" si="1"/>
        <v>22638.750264000002</v>
      </c>
      <c r="G23" s="5" t="s">
        <v>17</v>
      </c>
      <c r="H23" s="17">
        <f>'Input Data'!F18</f>
        <v>6800</v>
      </c>
      <c r="I23" s="18">
        <f t="shared" si="2"/>
        <v>7037.9999999999991</v>
      </c>
      <c r="J23" s="18">
        <f t="shared" si="2"/>
        <v>7284.3299999999981</v>
      </c>
      <c r="K23" s="18">
        <f t="shared" si="2"/>
        <v>7539.2815499999979</v>
      </c>
      <c r="L23" s="21"/>
      <c r="M23" s="5" t="s">
        <v>17</v>
      </c>
      <c r="N23" s="18">
        <f>B23+H23</f>
        <v>28133</v>
      </c>
      <c r="O23" s="18">
        <f t="shared" si="3"/>
        <v>29117.654999999999</v>
      </c>
      <c r="P23" s="18">
        <f t="shared" si="3"/>
        <v>30136.772924999997</v>
      </c>
      <c r="Q23" s="18">
        <f t="shared" si="3"/>
        <v>31191.559977374996</v>
      </c>
      <c r="R23" s="32"/>
    </row>
    <row r="24" spans="1:18" x14ac:dyDescent="0.2">
      <c r="A24" s="5" t="s">
        <v>26</v>
      </c>
      <c r="B24" s="17">
        <f>'Input Data'!B19</f>
        <v>10000</v>
      </c>
      <c r="C24" s="18">
        <f t="shared" si="1"/>
        <v>10200</v>
      </c>
      <c r="D24" s="18">
        <f t="shared" si="1"/>
        <v>10404</v>
      </c>
      <c r="E24" s="18">
        <f t="shared" si="1"/>
        <v>10612.08</v>
      </c>
      <c r="G24" s="5" t="s">
        <v>26</v>
      </c>
      <c r="H24" s="17">
        <f>'Input Data'!F19</f>
        <v>4300</v>
      </c>
      <c r="I24" s="18">
        <f>H24*(1+$H$26)</f>
        <v>4450.5</v>
      </c>
      <c r="J24" s="18">
        <f t="shared" ref="J24:K24" si="4">I24*(1+$H$26)</f>
        <v>4606.2674999999999</v>
      </c>
      <c r="K24" s="18">
        <f t="shared" si="4"/>
        <v>4767.4868624999999</v>
      </c>
      <c r="L24" s="21"/>
      <c r="M24" s="5" t="s">
        <v>26</v>
      </c>
      <c r="N24" s="18">
        <f>B24+H24</f>
        <v>14300</v>
      </c>
      <c r="O24" s="18">
        <f t="shared" si="3"/>
        <v>14800.499999999998</v>
      </c>
      <c r="P24" s="18">
        <f t="shared" si="3"/>
        <v>15318.517499999996</v>
      </c>
      <c r="Q24" s="18">
        <f t="shared" si="3"/>
        <v>15854.665612499995</v>
      </c>
      <c r="R24" s="32"/>
    </row>
    <row r="25" spans="1:18" ht="14" customHeight="1" x14ac:dyDescent="0.2">
      <c r="A25" s="48" t="s">
        <v>56</v>
      </c>
      <c r="B25" s="60">
        <f>C16</f>
        <v>0.02</v>
      </c>
      <c r="C25" s="180" t="s">
        <v>57</v>
      </c>
      <c r="D25" s="180"/>
      <c r="E25" s="180"/>
      <c r="G25" s="5" t="s">
        <v>30</v>
      </c>
      <c r="H25" s="17">
        <f>'Input Data'!F21</f>
        <v>850</v>
      </c>
      <c r="I25" s="18">
        <f>H25*(1+$H$26)</f>
        <v>879.74999999999989</v>
      </c>
      <c r="J25" s="18">
        <f t="shared" ref="J25:K25" si="5">I25*(1+$H$26)</f>
        <v>910.54124999999976</v>
      </c>
      <c r="K25" s="18">
        <f t="shared" si="5"/>
        <v>942.41019374999973</v>
      </c>
      <c r="L25" s="21"/>
      <c r="M25" s="5" t="s">
        <v>30</v>
      </c>
      <c r="N25" s="18">
        <f>H25</f>
        <v>850</v>
      </c>
      <c r="O25" s="18">
        <f>I25</f>
        <v>879.74999999999989</v>
      </c>
      <c r="P25" s="18">
        <f>J25</f>
        <v>910.54124999999976</v>
      </c>
      <c r="Q25" s="18">
        <f>K25</f>
        <v>942.41019374999973</v>
      </c>
      <c r="R25" s="32"/>
    </row>
    <row r="26" spans="1:18" x14ac:dyDescent="0.2">
      <c r="A26" s="1"/>
      <c r="B26" s="40"/>
      <c r="C26" s="180"/>
      <c r="D26" s="180"/>
      <c r="E26" s="180"/>
      <c r="G26" s="48" t="s">
        <v>58</v>
      </c>
      <c r="H26" s="45">
        <f>I16</f>
        <v>3.5000000000000003E-2</v>
      </c>
      <c r="I26" s="180" t="s">
        <v>60</v>
      </c>
      <c r="J26" s="180"/>
      <c r="K26" s="180"/>
      <c r="L26" s="21"/>
      <c r="M26" s="48" t="s">
        <v>58</v>
      </c>
      <c r="N26" s="45">
        <f>O21/N21-1</f>
        <v>2.2586206896551664E-2</v>
      </c>
      <c r="O26" s="180"/>
      <c r="P26" s="180"/>
      <c r="Q26" s="180"/>
      <c r="R26" s="32"/>
    </row>
    <row r="27" spans="1:18" x14ac:dyDescent="0.2">
      <c r="A27" s="5" t="s">
        <v>88</v>
      </c>
      <c r="B27" s="40"/>
      <c r="C27" s="40"/>
      <c r="D27" s="40"/>
      <c r="E27" s="40"/>
      <c r="I27" s="180"/>
      <c r="J27" s="180"/>
      <c r="K27" s="180"/>
      <c r="L27" s="21"/>
      <c r="O27" s="180"/>
      <c r="P27" s="180"/>
      <c r="Q27" s="180"/>
      <c r="R27" s="32"/>
    </row>
    <row r="28" spans="1:18" x14ac:dyDescent="0.2">
      <c r="B28" s="40"/>
      <c r="C28" s="40"/>
      <c r="D28" s="40"/>
      <c r="E28" s="40"/>
      <c r="G28" s="5" t="s">
        <v>29</v>
      </c>
      <c r="H28" s="17">
        <f>'Input Data'!F20</f>
        <v>6000</v>
      </c>
      <c r="I28" s="18">
        <f>H28*(1+$H$31)</f>
        <v>6300</v>
      </c>
      <c r="J28" s="18">
        <f t="shared" ref="J28:K28" si="6">I28*(1+$H$31)</f>
        <v>6615</v>
      </c>
      <c r="K28" s="18">
        <f t="shared" si="6"/>
        <v>6945.75</v>
      </c>
      <c r="L28" s="21"/>
      <c r="M28" s="5" t="s">
        <v>29</v>
      </c>
      <c r="N28" s="18">
        <f t="shared" ref="N28:Q30" si="7">H28</f>
        <v>6000</v>
      </c>
      <c r="O28" s="18">
        <f t="shared" si="7"/>
        <v>6300</v>
      </c>
      <c r="P28" s="18">
        <f t="shared" si="7"/>
        <v>6615</v>
      </c>
      <c r="Q28" s="18">
        <f t="shared" si="7"/>
        <v>6945.75</v>
      </c>
      <c r="R28" s="32"/>
    </row>
    <row r="29" spans="1:18" ht="15" customHeight="1" x14ac:dyDescent="0.2">
      <c r="A29" s="1"/>
      <c r="G29" s="5" t="s">
        <v>31</v>
      </c>
      <c r="H29" s="17">
        <f>'Input Data'!F22</f>
        <v>5000</v>
      </c>
      <c r="I29" s="18">
        <f t="shared" ref="I29:K30" si="8">H29*(1+$H$31)</f>
        <v>5250</v>
      </c>
      <c r="J29" s="18">
        <f t="shared" si="8"/>
        <v>5512.5</v>
      </c>
      <c r="K29" s="18">
        <f t="shared" si="8"/>
        <v>5788.125</v>
      </c>
      <c r="L29" s="21"/>
      <c r="M29" s="5" t="s">
        <v>31</v>
      </c>
      <c r="N29" s="18">
        <f t="shared" si="7"/>
        <v>5000</v>
      </c>
      <c r="O29" s="18">
        <f t="shared" si="7"/>
        <v>5250</v>
      </c>
      <c r="P29" s="18">
        <f t="shared" si="7"/>
        <v>5512.5</v>
      </c>
      <c r="Q29" s="18">
        <f t="shared" si="7"/>
        <v>5788.125</v>
      </c>
      <c r="R29" s="32"/>
    </row>
    <row r="30" spans="1:18" x14ac:dyDescent="0.2">
      <c r="B30" s="63"/>
      <c r="G30" s="5" t="s">
        <v>32</v>
      </c>
      <c r="H30" s="17">
        <f>'Input Data'!F23</f>
        <v>1500</v>
      </c>
      <c r="I30" s="18">
        <f t="shared" si="8"/>
        <v>1575</v>
      </c>
      <c r="J30" s="18">
        <f t="shared" si="8"/>
        <v>1653.75</v>
      </c>
      <c r="K30" s="18">
        <f t="shared" si="8"/>
        <v>1736.4375</v>
      </c>
      <c r="L30" s="21"/>
      <c r="M30" s="5" t="s">
        <v>32</v>
      </c>
      <c r="N30" s="18">
        <f t="shared" si="7"/>
        <v>1500</v>
      </c>
      <c r="O30" s="18">
        <f t="shared" si="7"/>
        <v>1575</v>
      </c>
      <c r="P30" s="18">
        <f t="shared" si="7"/>
        <v>1653.75</v>
      </c>
      <c r="Q30" s="18">
        <f t="shared" si="7"/>
        <v>1736.4375</v>
      </c>
      <c r="R30" s="32"/>
    </row>
    <row r="31" spans="1:18" x14ac:dyDescent="0.2">
      <c r="G31" s="48" t="s">
        <v>59</v>
      </c>
      <c r="H31" s="20">
        <v>0.05</v>
      </c>
      <c r="I31" s="181" t="s">
        <v>61</v>
      </c>
      <c r="J31" s="181"/>
      <c r="K31" s="181"/>
      <c r="L31" s="21"/>
      <c r="M31" s="48" t="s">
        <v>59</v>
      </c>
      <c r="N31" s="20">
        <f>O28/N28-1</f>
        <v>5.0000000000000044E-2</v>
      </c>
      <c r="O31" s="1"/>
      <c r="P31" s="1"/>
      <c r="Q31" s="1"/>
      <c r="R31" s="32"/>
    </row>
    <row r="32" spans="1:18" x14ac:dyDescent="0.2">
      <c r="G32" s="1"/>
      <c r="H32" s="40"/>
      <c r="I32" s="181"/>
      <c r="J32" s="181"/>
      <c r="K32" s="181"/>
      <c r="L32" s="21"/>
      <c r="M32" s="1"/>
      <c r="N32" s="40"/>
      <c r="O32" s="1"/>
      <c r="P32" s="1"/>
      <c r="Q32" s="1"/>
      <c r="R32" s="32"/>
    </row>
    <row r="33" spans="1:18" ht="15" thickBot="1" x14ac:dyDescent="0.25">
      <c r="F33"/>
      <c r="G33" s="1"/>
      <c r="H33" s="40"/>
      <c r="I33" s="181"/>
      <c r="J33" s="181"/>
      <c r="K33" s="181"/>
      <c r="L33" s="21"/>
      <c r="M33" s="16" t="s">
        <v>96</v>
      </c>
      <c r="N33" s="16"/>
      <c r="O33" s="16"/>
      <c r="P33" s="16"/>
      <c r="Q33" s="16"/>
      <c r="R33" s="32"/>
    </row>
    <row r="34" spans="1:18" x14ac:dyDescent="0.2">
      <c r="F34"/>
      <c r="G34" s="5" t="s">
        <v>88</v>
      </c>
      <c r="H34" s="40"/>
      <c r="I34" s="66"/>
      <c r="J34" s="66"/>
      <c r="K34" s="66"/>
      <c r="L34" s="1"/>
      <c r="N34" s="30">
        <v>2024</v>
      </c>
      <c r="O34" s="30">
        <v>2025</v>
      </c>
      <c r="P34" s="30">
        <v>2026</v>
      </c>
      <c r="Q34" s="30">
        <v>2027</v>
      </c>
      <c r="R34" s="32"/>
    </row>
    <row r="35" spans="1:18" x14ac:dyDescent="0.2">
      <c r="F35"/>
      <c r="G35" s="1"/>
      <c r="H35" s="1"/>
      <c r="I35" s="1"/>
      <c r="J35" s="1"/>
      <c r="K35" s="1"/>
      <c r="L35" s="1"/>
      <c r="M35" s="5" t="s">
        <v>68</v>
      </c>
      <c r="N35" s="18">
        <f>B38+H38</f>
        <v>40</v>
      </c>
      <c r="O35" s="18">
        <f>C38+I38</f>
        <v>40</v>
      </c>
      <c r="P35" s="18">
        <f>D38+J38</f>
        <v>40</v>
      </c>
      <c r="Q35" s="18">
        <f>E38+K38</f>
        <v>40</v>
      </c>
      <c r="R35" s="32"/>
    </row>
    <row r="36" spans="1:18" ht="15" thickBot="1" x14ac:dyDescent="0.25">
      <c r="A36" s="16" t="s">
        <v>77</v>
      </c>
      <c r="B36" s="16"/>
      <c r="C36" s="16"/>
      <c r="D36" s="16"/>
      <c r="E36" s="16"/>
      <c r="F36"/>
      <c r="G36" s="16" t="s">
        <v>79</v>
      </c>
      <c r="H36" s="16"/>
      <c r="I36" s="16"/>
      <c r="J36" s="16"/>
      <c r="K36" s="16"/>
      <c r="L36" s="1"/>
      <c r="M36" s="5" t="s">
        <v>69</v>
      </c>
      <c r="N36" s="18">
        <f>B39</f>
        <v>20</v>
      </c>
      <c r="O36" s="18">
        <f>C39</f>
        <v>20.399999999999999</v>
      </c>
      <c r="P36" s="18">
        <f>D39</f>
        <v>20.808</v>
      </c>
      <c r="Q36" s="18">
        <f>E39</f>
        <v>21.224160000000001</v>
      </c>
      <c r="R36" s="32"/>
    </row>
    <row r="37" spans="1:18" x14ac:dyDescent="0.2">
      <c r="B37" s="30">
        <v>2024</v>
      </c>
      <c r="C37" s="30">
        <v>2025</v>
      </c>
      <c r="D37" s="30">
        <v>2026</v>
      </c>
      <c r="E37" s="30">
        <v>2027</v>
      </c>
      <c r="F37"/>
      <c r="H37" s="30">
        <v>2024</v>
      </c>
      <c r="I37" s="30">
        <v>2025</v>
      </c>
      <c r="J37" s="30">
        <v>2026</v>
      </c>
      <c r="K37" s="30">
        <v>2027</v>
      </c>
      <c r="L37" s="1"/>
      <c r="M37" s="5" t="s">
        <v>70</v>
      </c>
      <c r="N37" s="18">
        <f>B40+H40</f>
        <v>155</v>
      </c>
      <c r="O37" s="18">
        <f>C40+I40</f>
        <v>158.625</v>
      </c>
      <c r="P37" s="18">
        <f>D40+J40</f>
        <v>162.34087500000001</v>
      </c>
      <c r="Q37" s="18">
        <f>E40+K40</f>
        <v>166.150085625</v>
      </c>
      <c r="R37" s="32"/>
    </row>
    <row r="38" spans="1:18" x14ac:dyDescent="0.2">
      <c r="A38" s="5" t="s">
        <v>68</v>
      </c>
      <c r="B38" s="17">
        <f>'Input Data'!$B40</f>
        <v>25</v>
      </c>
      <c r="C38" s="18">
        <f>'Input Data'!$B40</f>
        <v>25</v>
      </c>
      <c r="D38" s="18">
        <f>'Input Data'!$B40</f>
        <v>25</v>
      </c>
      <c r="E38" s="18">
        <f>'Input Data'!$B40</f>
        <v>25</v>
      </c>
      <c r="F38"/>
      <c r="G38" s="5" t="s">
        <v>68</v>
      </c>
      <c r="H38" s="17">
        <f>'Input Data'!$F40</f>
        <v>15</v>
      </c>
      <c r="I38" s="18">
        <f>'Input Data'!$F40</f>
        <v>15</v>
      </c>
      <c r="J38" s="18">
        <f>'Input Data'!$F40</f>
        <v>15</v>
      </c>
      <c r="K38" s="18">
        <f>'Input Data'!$F40</f>
        <v>15</v>
      </c>
      <c r="L38" s="1"/>
      <c r="M38" s="5" t="s">
        <v>72</v>
      </c>
      <c r="N38" s="18">
        <f>H39</f>
        <v>20</v>
      </c>
      <c r="O38" s="18">
        <f>I39</f>
        <v>20.7</v>
      </c>
      <c r="P38" s="18">
        <f>J39</f>
        <v>21.424499999999998</v>
      </c>
      <c r="Q38" s="18">
        <f>K39</f>
        <v>22.174357499999996</v>
      </c>
      <c r="R38" s="32"/>
    </row>
    <row r="39" spans="1:18" x14ac:dyDescent="0.2">
      <c r="A39" s="5" t="s">
        <v>69</v>
      </c>
      <c r="B39" s="17">
        <f>'Input Data'!B41</f>
        <v>20</v>
      </c>
      <c r="C39" s="18">
        <f t="shared" ref="C39:E40" si="9">B39*(1+$B$41)</f>
        <v>20.399999999999999</v>
      </c>
      <c r="D39" s="18">
        <f t="shared" si="9"/>
        <v>20.808</v>
      </c>
      <c r="E39" s="18">
        <f t="shared" si="9"/>
        <v>21.224160000000001</v>
      </c>
      <c r="F39"/>
      <c r="G39" s="5" t="s">
        <v>72</v>
      </c>
      <c r="H39" s="17">
        <f>'Input Data'!$F41</f>
        <v>20</v>
      </c>
      <c r="I39" s="18">
        <f t="shared" ref="I39:K40" si="10">H39*(1+$H$42)</f>
        <v>20.7</v>
      </c>
      <c r="J39" s="18">
        <f t="shared" si="10"/>
        <v>21.424499999999998</v>
      </c>
      <c r="K39" s="18">
        <f t="shared" si="10"/>
        <v>22.174357499999996</v>
      </c>
      <c r="L39" s="1"/>
      <c r="M39" s="5" t="s">
        <v>85</v>
      </c>
      <c r="N39" s="18">
        <f>H41</f>
        <v>7</v>
      </c>
      <c r="O39" s="18">
        <f>I41</f>
        <v>7.3500000000000005</v>
      </c>
      <c r="P39" s="18">
        <f>J41</f>
        <v>7.7175000000000011</v>
      </c>
      <c r="Q39" s="18">
        <f>K41</f>
        <v>8.1033750000000015</v>
      </c>
      <c r="R39" s="32"/>
    </row>
    <row r="40" spans="1:18" x14ac:dyDescent="0.2">
      <c r="A40" s="5" t="s">
        <v>70</v>
      </c>
      <c r="B40" s="17">
        <f>'Input Data'!B42</f>
        <v>120</v>
      </c>
      <c r="C40" s="18">
        <f t="shared" si="9"/>
        <v>122.4</v>
      </c>
      <c r="D40" s="18">
        <f t="shared" si="9"/>
        <v>124.84800000000001</v>
      </c>
      <c r="E40" s="18">
        <f t="shared" si="9"/>
        <v>127.34496000000001</v>
      </c>
      <c r="F40"/>
      <c r="G40" s="5" t="s">
        <v>70</v>
      </c>
      <c r="H40" s="17">
        <f>'Input Data'!$F42</f>
        <v>35</v>
      </c>
      <c r="I40" s="18">
        <f t="shared" si="10"/>
        <v>36.224999999999994</v>
      </c>
      <c r="J40" s="18">
        <f t="shared" si="10"/>
        <v>37.492874999999991</v>
      </c>
      <c r="K40" s="18">
        <f t="shared" si="10"/>
        <v>38.805125624999988</v>
      </c>
      <c r="L40" s="1"/>
      <c r="M40" s="48"/>
      <c r="O40" s="1"/>
      <c r="P40" s="1"/>
      <c r="Q40" s="1"/>
      <c r="R40" s="32"/>
    </row>
    <row r="41" spans="1:18" x14ac:dyDescent="0.2">
      <c r="A41" s="48" t="s">
        <v>78</v>
      </c>
      <c r="B41" s="20">
        <f>C16</f>
        <v>0.02</v>
      </c>
      <c r="F41"/>
      <c r="G41" s="5" t="s">
        <v>85</v>
      </c>
      <c r="H41" s="17">
        <f>'Input Data'!$F43</f>
        <v>7</v>
      </c>
      <c r="I41" s="18">
        <f>H41*(1+$H$43)</f>
        <v>7.3500000000000005</v>
      </c>
      <c r="J41" s="18">
        <f>I41*(1+$H$43)</f>
        <v>7.7175000000000011</v>
      </c>
      <c r="K41" s="18">
        <f>J41*(1+$H$43)</f>
        <v>8.1033750000000015</v>
      </c>
      <c r="L41" s="1"/>
      <c r="M41" s="5" t="s">
        <v>90</v>
      </c>
      <c r="N41" s="71">
        <f>(B42*B38+H44*H38)/(N35)</f>
        <v>53750</v>
      </c>
      <c r="O41" s="1"/>
      <c r="P41" s="1"/>
      <c r="Q41" s="1"/>
      <c r="R41" s="32"/>
    </row>
    <row r="42" spans="1:18" x14ac:dyDescent="0.2">
      <c r="A42" s="5" t="s">
        <v>75</v>
      </c>
      <c r="B42" s="71">
        <f>'Input Data'!$B$30/'PetCare &amp; VetWell Business Plan'!B38</f>
        <v>60000</v>
      </c>
      <c r="C42" s="63"/>
      <c r="D42" s="63"/>
      <c r="E42" s="63"/>
      <c r="F42"/>
      <c r="G42" s="48" t="s">
        <v>83</v>
      </c>
      <c r="H42" s="42">
        <f>I16</f>
        <v>3.5000000000000003E-2</v>
      </c>
      <c r="I42" s="1"/>
      <c r="J42" s="1"/>
      <c r="K42" s="1"/>
      <c r="L42" s="1"/>
      <c r="M42" s="5" t="s">
        <v>94</v>
      </c>
      <c r="N42" s="71">
        <f>B43</f>
        <v>135000</v>
      </c>
      <c r="O42" s="1"/>
      <c r="P42" s="1"/>
      <c r="Q42" s="1"/>
      <c r="R42" s="32"/>
    </row>
    <row r="43" spans="1:18" x14ac:dyDescent="0.2">
      <c r="A43" s="5" t="s">
        <v>76</v>
      </c>
      <c r="B43" s="71">
        <f>'Input Data'!$B$27/'PetCare &amp; VetWell Business Plan'!B39</f>
        <v>135000</v>
      </c>
      <c r="C43" s="63"/>
      <c r="D43" s="63"/>
      <c r="E43" s="63"/>
      <c r="F43"/>
      <c r="G43" s="48" t="s">
        <v>84</v>
      </c>
      <c r="H43" s="42">
        <f>H31</f>
        <v>0.05</v>
      </c>
      <c r="I43" s="1"/>
      <c r="J43" s="1"/>
      <c r="K43" s="1"/>
      <c r="L43" s="1"/>
      <c r="M43" s="5" t="s">
        <v>91</v>
      </c>
      <c r="N43" s="71">
        <f>(H45*H39)/(N38)</f>
        <v>108625</v>
      </c>
      <c r="O43" s="1"/>
      <c r="P43" s="1"/>
      <c r="Q43" s="1"/>
      <c r="R43" s="32"/>
    </row>
    <row r="44" spans="1:18" x14ac:dyDescent="0.2">
      <c r="A44" s="5" t="s">
        <v>81</v>
      </c>
      <c r="B44" s="71">
        <f>'Input Data'!$B$28/'PetCare &amp; VetWell Business Plan'!B40</f>
        <v>52500</v>
      </c>
      <c r="C44" s="63"/>
      <c r="D44" s="63"/>
      <c r="E44" s="63"/>
      <c r="F44"/>
      <c r="G44" s="5" t="s">
        <v>75</v>
      </c>
      <c r="H44" s="71">
        <f>'Input Data'!F31/'PetCare &amp; VetWell Business Plan'!H38</f>
        <v>43333.333333333336</v>
      </c>
      <c r="I44" s="1"/>
      <c r="J44" s="1"/>
      <c r="K44" s="1"/>
      <c r="L44" s="1"/>
      <c r="M44" s="5" t="s">
        <v>92</v>
      </c>
      <c r="N44" s="71">
        <f>(B44*B40+H46*H40)/(N37)</f>
        <v>52979.354838709674</v>
      </c>
      <c r="O44" s="1"/>
      <c r="P44" s="1"/>
      <c r="Q44" s="1"/>
      <c r="R44" s="32"/>
    </row>
    <row r="45" spans="1:18" x14ac:dyDescent="0.2">
      <c r="F45"/>
      <c r="G45" s="5" t="s">
        <v>80</v>
      </c>
      <c r="H45" s="71">
        <f>'Input Data'!F27/'Input Data'!F41</f>
        <v>108625</v>
      </c>
      <c r="I45" s="1"/>
      <c r="J45" s="1"/>
      <c r="K45" s="1"/>
      <c r="L45" s="1"/>
      <c r="M45" s="5" t="s">
        <v>93</v>
      </c>
      <c r="N45" s="71">
        <f>H47</f>
        <v>37242.857142857145</v>
      </c>
      <c r="O45" s="1"/>
      <c r="P45" s="1"/>
      <c r="Q45" s="1"/>
      <c r="R45" s="32"/>
    </row>
    <row r="46" spans="1:18" x14ac:dyDescent="0.2">
      <c r="F46"/>
      <c r="G46" s="5" t="s">
        <v>81</v>
      </c>
      <c r="H46" s="71">
        <f>'Input Data'!F28/'Input Data'!F42</f>
        <v>54622.857142857145</v>
      </c>
      <c r="I46" s="1"/>
      <c r="J46" s="1"/>
      <c r="K46" s="1"/>
      <c r="L46" s="1"/>
      <c r="M46" s="1"/>
      <c r="N46" s="1"/>
      <c r="O46" s="54"/>
      <c r="P46" s="54"/>
      <c r="Q46" s="54"/>
      <c r="R46" s="32"/>
    </row>
    <row r="47" spans="1:18" ht="15" thickBot="1" x14ac:dyDescent="0.25">
      <c r="G47" s="5" t="s">
        <v>86</v>
      </c>
      <c r="H47" s="71">
        <f>'Input Data'!F29/'Input Data'!F43</f>
        <v>37242.857142857145</v>
      </c>
      <c r="I47" s="1"/>
      <c r="J47" s="1"/>
      <c r="K47" s="1"/>
      <c r="L47" s="1"/>
      <c r="M47" s="16" t="s">
        <v>97</v>
      </c>
      <c r="N47" s="16"/>
      <c r="O47" s="16"/>
      <c r="P47" s="16"/>
      <c r="Q47" s="16"/>
      <c r="R47" s="32"/>
    </row>
    <row r="48" spans="1:18" x14ac:dyDescent="0.2">
      <c r="F48"/>
      <c r="G48" s="1"/>
      <c r="H48" s="1"/>
      <c r="I48" s="1"/>
      <c r="J48" s="1"/>
      <c r="K48" s="1"/>
      <c r="L48" s="1"/>
      <c r="M48" s="1"/>
      <c r="N48" s="30">
        <v>2024</v>
      </c>
      <c r="O48" s="30">
        <v>2025</v>
      </c>
      <c r="P48" s="30">
        <v>2026</v>
      </c>
      <c r="Q48" s="30">
        <v>2027</v>
      </c>
      <c r="R48" s="32"/>
    </row>
    <row r="49" spans="1:25" ht="15" thickBot="1" x14ac:dyDescent="0.25">
      <c r="A49" s="16" t="s">
        <v>87</v>
      </c>
      <c r="B49" s="16"/>
      <c r="C49" s="16"/>
      <c r="D49" s="16"/>
      <c r="E49" s="16"/>
      <c r="F49"/>
      <c r="G49" s="16" t="s">
        <v>89</v>
      </c>
      <c r="H49" s="16"/>
      <c r="I49" s="16"/>
      <c r="J49" s="16"/>
      <c r="K49" s="16"/>
      <c r="L49" s="55"/>
      <c r="M49" s="1" t="s">
        <v>0</v>
      </c>
      <c r="N49" s="18"/>
      <c r="O49" s="18"/>
      <c r="P49" s="18"/>
      <c r="Q49" s="18"/>
      <c r="R49" s="34"/>
      <c r="V49" s="1"/>
    </row>
    <row r="50" spans="1:25" x14ac:dyDescent="0.2">
      <c r="A50" s="1"/>
      <c r="B50" s="30">
        <v>2024</v>
      </c>
      <c r="C50" s="30">
        <v>2025</v>
      </c>
      <c r="D50" s="30">
        <v>2026</v>
      </c>
      <c r="E50" s="30">
        <v>2027</v>
      </c>
      <c r="F50"/>
      <c r="G50" s="1"/>
      <c r="H50" s="30">
        <v>2024</v>
      </c>
      <c r="I50" s="30">
        <v>2025</v>
      </c>
      <c r="J50" s="30">
        <v>2026</v>
      </c>
      <c r="K50" s="30">
        <v>2027</v>
      </c>
      <c r="M50" s="5" t="s">
        <v>24</v>
      </c>
      <c r="N50" s="67">
        <f t="shared" ref="N50:Q53" si="11">B52+H52</f>
        <v>13300000</v>
      </c>
      <c r="O50" s="67">
        <f t="shared" si="11"/>
        <v>13603500</v>
      </c>
      <c r="P50" s="67">
        <f t="shared" si="11"/>
        <v>13914382.5</v>
      </c>
      <c r="Q50" s="67">
        <f t="shared" si="11"/>
        <v>14232841.087499999</v>
      </c>
      <c r="R50" s="87"/>
      <c r="S50" s="87"/>
      <c r="T50" s="87"/>
      <c r="U50" s="87"/>
      <c r="V50" s="20"/>
      <c r="W50" s="20"/>
      <c r="X50" s="20"/>
      <c r="Y50" s="20"/>
    </row>
    <row r="51" spans="1:25" customFormat="1" x14ac:dyDescent="0.2">
      <c r="A51" s="1" t="s">
        <v>0</v>
      </c>
      <c r="B51" s="18"/>
      <c r="C51" s="18"/>
      <c r="D51" s="18"/>
      <c r="E51" s="18"/>
      <c r="F51" s="5"/>
      <c r="G51" s="1" t="s">
        <v>0</v>
      </c>
      <c r="H51" s="18"/>
      <c r="I51" s="18"/>
      <c r="J51" s="18"/>
      <c r="K51" s="18"/>
      <c r="M51" s="5" t="s">
        <v>16</v>
      </c>
      <c r="N51" s="67">
        <f t="shared" si="11"/>
        <v>5700000</v>
      </c>
      <c r="O51" s="67">
        <f t="shared" si="11"/>
        <v>5832000</v>
      </c>
      <c r="P51" s="67">
        <f t="shared" si="11"/>
        <v>5967270</v>
      </c>
      <c r="Q51" s="67">
        <f t="shared" si="11"/>
        <v>6105897.4500000011</v>
      </c>
      <c r="R51" s="87"/>
      <c r="S51" s="87"/>
      <c r="T51" s="87"/>
      <c r="U51" s="87"/>
      <c r="V51" s="20"/>
      <c r="W51" s="20"/>
      <c r="X51" s="20"/>
      <c r="Y51" s="20"/>
    </row>
    <row r="52" spans="1:25" customFormat="1" x14ac:dyDescent="0.2">
      <c r="A52" s="35" t="s">
        <v>15</v>
      </c>
      <c r="B52" s="67">
        <f>B21*'Input Data'!$C$16</f>
        <v>10800000</v>
      </c>
      <c r="C52" s="67">
        <f>C21*'Input Data'!$C$16</f>
        <v>11016000</v>
      </c>
      <c r="D52" s="67">
        <f>D21*'Input Data'!$C$16</f>
        <v>11236320</v>
      </c>
      <c r="E52" s="67">
        <f>E21*'Input Data'!$C$16</f>
        <v>11461046.4</v>
      </c>
      <c r="F52" s="5"/>
      <c r="G52" s="5" t="s">
        <v>24</v>
      </c>
      <c r="H52" s="61">
        <f>H21*'Input Data'!$G16</f>
        <v>2500000</v>
      </c>
      <c r="I52" s="61">
        <f>I21*'Input Data'!$G16</f>
        <v>2587499.9999999995</v>
      </c>
      <c r="J52" s="61">
        <f>J21*'Input Data'!$G16</f>
        <v>2678062.4999999991</v>
      </c>
      <c r="K52" s="61">
        <f>K21*'Input Data'!$G16</f>
        <v>2771794.6874999991</v>
      </c>
      <c r="M52" s="5" t="s">
        <v>17</v>
      </c>
      <c r="N52" s="67">
        <f t="shared" si="11"/>
        <v>4151950</v>
      </c>
      <c r="O52" s="67">
        <f t="shared" si="11"/>
        <v>4249269</v>
      </c>
      <c r="P52" s="67">
        <f t="shared" si="11"/>
        <v>4349034.18</v>
      </c>
      <c r="Q52" s="67">
        <f t="shared" si="11"/>
        <v>4451311.9566000002</v>
      </c>
      <c r="R52" s="87"/>
      <c r="S52" s="87"/>
      <c r="T52" s="87"/>
      <c r="U52" s="87"/>
      <c r="V52" s="87"/>
      <c r="W52" s="87"/>
      <c r="X52" s="87"/>
    </row>
    <row r="53" spans="1:25" customFormat="1" x14ac:dyDescent="0.2">
      <c r="A53" s="35" t="s">
        <v>16</v>
      </c>
      <c r="B53" s="67">
        <f>B22*'Input Data'!$C17</f>
        <v>4500000</v>
      </c>
      <c r="C53" s="67">
        <f>C22*'Input Data'!$C17</f>
        <v>4590000</v>
      </c>
      <c r="D53" s="67">
        <f>D22*'Input Data'!$C17</f>
        <v>4681800</v>
      </c>
      <c r="E53" s="67">
        <f>E22*'Input Data'!$C17</f>
        <v>4775436.0000000009</v>
      </c>
      <c r="F53" s="5"/>
      <c r="G53" s="5" t="s">
        <v>16</v>
      </c>
      <c r="H53" s="61">
        <f>H22*'Input Data'!$G17</f>
        <v>1200000</v>
      </c>
      <c r="I53" s="61">
        <f>I22*'Input Data'!$G17</f>
        <v>1242000</v>
      </c>
      <c r="J53" s="61">
        <f>J22*'Input Data'!$G17</f>
        <v>1285470</v>
      </c>
      <c r="K53" s="61">
        <f>K22*'Input Data'!$G17</f>
        <v>1330461.4499999997</v>
      </c>
      <c r="M53" s="5" t="s">
        <v>26</v>
      </c>
      <c r="N53" s="67">
        <f t="shared" si="11"/>
        <v>21020000</v>
      </c>
      <c r="O53" s="67">
        <f t="shared" si="11"/>
        <v>21530700</v>
      </c>
      <c r="P53" s="67">
        <f t="shared" si="11"/>
        <v>22054774.5</v>
      </c>
      <c r="Q53" s="67">
        <f t="shared" si="11"/>
        <v>22592601.607500002</v>
      </c>
      <c r="R53" s="87"/>
      <c r="S53" s="87"/>
      <c r="T53" s="87"/>
      <c r="U53" s="87"/>
      <c r="V53" s="87"/>
      <c r="W53" s="87"/>
      <c r="X53" s="87"/>
    </row>
    <row r="54" spans="1:25" customFormat="1" x14ac:dyDescent="0.2">
      <c r="A54" s="35" t="s">
        <v>17</v>
      </c>
      <c r="B54" s="67">
        <f>B23*'Input Data'!$C18</f>
        <v>3199950</v>
      </c>
      <c r="C54" s="67">
        <f>C23*'Input Data'!$C18</f>
        <v>3263949</v>
      </c>
      <c r="D54" s="67">
        <f>D23*'Input Data'!$C18</f>
        <v>3329227.98</v>
      </c>
      <c r="E54" s="67">
        <f>E23*'Input Data'!$C18</f>
        <v>3395812.5396000003</v>
      </c>
      <c r="F54" s="5"/>
      <c r="G54" s="5" t="s">
        <v>17</v>
      </c>
      <c r="H54" s="61">
        <f>H23*'Input Data'!$G18</f>
        <v>952000</v>
      </c>
      <c r="I54" s="61">
        <f>I23*'Input Data'!$G18</f>
        <v>985319.99999999988</v>
      </c>
      <c r="J54" s="61">
        <f>J23*'Input Data'!$G18</f>
        <v>1019806.1999999997</v>
      </c>
      <c r="K54" s="61">
        <f>K23*'Input Data'!$G18</f>
        <v>1055499.4169999997</v>
      </c>
      <c r="M54" s="5" t="s">
        <v>30</v>
      </c>
      <c r="N54" s="67">
        <f t="shared" ref="N54:Q57" si="12">H56</f>
        <v>127500</v>
      </c>
      <c r="O54" s="67">
        <f t="shared" si="12"/>
        <v>131962.49999999997</v>
      </c>
      <c r="P54" s="67">
        <f t="shared" si="12"/>
        <v>136581.18749999997</v>
      </c>
      <c r="Q54" s="67">
        <f t="shared" si="12"/>
        <v>141361.52906249996</v>
      </c>
      <c r="R54" s="87"/>
      <c r="S54" s="87"/>
      <c r="T54" s="87"/>
      <c r="U54" s="87"/>
      <c r="V54" s="87"/>
      <c r="W54" s="87"/>
      <c r="X54" s="87"/>
    </row>
    <row r="55" spans="1:25" x14ac:dyDescent="0.2">
      <c r="A55" s="35" t="s">
        <v>18</v>
      </c>
      <c r="B55" s="67">
        <f>B24*'Input Data'!$C19</f>
        <v>15000000</v>
      </c>
      <c r="C55" s="67">
        <f>C24*'Input Data'!$C19</f>
        <v>15300000</v>
      </c>
      <c r="D55" s="67">
        <f>D24*'Input Data'!$C19</f>
        <v>15606000</v>
      </c>
      <c r="E55" s="67">
        <f>E24*'Input Data'!$C19</f>
        <v>15918120</v>
      </c>
      <c r="G55" s="5" t="s">
        <v>26</v>
      </c>
      <c r="H55" s="61">
        <f>H24*'Input Data'!$G19</f>
        <v>6020000</v>
      </c>
      <c r="I55" s="61">
        <f>I24*'Input Data'!$G19</f>
        <v>6230700</v>
      </c>
      <c r="J55" s="61">
        <f>J24*'Input Data'!$G19</f>
        <v>6448774.5</v>
      </c>
      <c r="K55" s="61">
        <f>K24*'Input Data'!$G19</f>
        <v>6674481.6074999999</v>
      </c>
      <c r="M55" s="5" t="s">
        <v>29</v>
      </c>
      <c r="N55" s="67">
        <f t="shared" si="12"/>
        <v>660000</v>
      </c>
      <c r="O55" s="67">
        <f t="shared" si="12"/>
        <v>693000</v>
      </c>
      <c r="P55" s="67">
        <f t="shared" si="12"/>
        <v>727650</v>
      </c>
      <c r="Q55" s="67">
        <f t="shared" si="12"/>
        <v>764032.5</v>
      </c>
      <c r="R55" s="87"/>
      <c r="S55" s="87"/>
      <c r="T55" s="87"/>
      <c r="U55" s="87"/>
      <c r="V55" s="87"/>
      <c r="W55" s="87"/>
      <c r="X55" s="87"/>
    </row>
    <row r="56" spans="1:25" x14ac:dyDescent="0.2">
      <c r="A56" s="58" t="s">
        <v>19</v>
      </c>
      <c r="B56" s="68">
        <f>SUM(B51:B55)</f>
        <v>33499950</v>
      </c>
      <c r="C56" s="68">
        <f t="shared" ref="C56:E56" si="13">SUM(C51:C55)</f>
        <v>34169949</v>
      </c>
      <c r="D56" s="68">
        <f t="shared" si="13"/>
        <v>34853347.980000004</v>
      </c>
      <c r="E56" s="68">
        <f t="shared" si="13"/>
        <v>35550414.939600006</v>
      </c>
      <c r="G56" s="5" t="s">
        <v>30</v>
      </c>
      <c r="H56" s="61">
        <f>H25*'Input Data'!$G21</f>
        <v>127500</v>
      </c>
      <c r="I56" s="61">
        <f>I25*'Input Data'!$G21</f>
        <v>131962.49999999997</v>
      </c>
      <c r="J56" s="61">
        <f>J25*'Input Data'!$G21</f>
        <v>136581.18749999997</v>
      </c>
      <c r="K56" s="61">
        <f>K25*'Input Data'!$G21</f>
        <v>141361.52906249996</v>
      </c>
      <c r="M56" s="5" t="s">
        <v>31</v>
      </c>
      <c r="N56" s="67">
        <f t="shared" si="12"/>
        <v>150000</v>
      </c>
      <c r="O56" s="67">
        <f t="shared" si="12"/>
        <v>157500</v>
      </c>
      <c r="P56" s="67">
        <f t="shared" si="12"/>
        <v>165375</v>
      </c>
      <c r="Q56" s="67">
        <f t="shared" si="12"/>
        <v>173643.75</v>
      </c>
      <c r="R56" s="87"/>
      <c r="S56" s="87"/>
      <c r="T56" s="87"/>
      <c r="U56" s="87"/>
      <c r="V56" s="87"/>
      <c r="W56" s="87"/>
      <c r="X56" s="87"/>
    </row>
    <row r="57" spans="1:25" x14ac:dyDescent="0.2">
      <c r="A57" s="1" t="s">
        <v>8</v>
      </c>
      <c r="B57" s="18"/>
      <c r="C57" s="18"/>
      <c r="D57" s="18"/>
      <c r="E57" s="18"/>
      <c r="G57" s="5" t="s">
        <v>29</v>
      </c>
      <c r="H57" s="61">
        <f>H28*'Input Data'!$G20</f>
        <v>660000</v>
      </c>
      <c r="I57" s="61">
        <f>I28*'Input Data'!$G20</f>
        <v>693000</v>
      </c>
      <c r="J57" s="61">
        <f>J28*'Input Data'!$G20</f>
        <v>727650</v>
      </c>
      <c r="K57" s="61">
        <f>K28*'Input Data'!$G20</f>
        <v>764032.5</v>
      </c>
      <c r="M57" s="5" t="s">
        <v>32</v>
      </c>
      <c r="N57" s="67">
        <f t="shared" si="12"/>
        <v>825000</v>
      </c>
      <c r="O57" s="67">
        <f t="shared" si="12"/>
        <v>866250</v>
      </c>
      <c r="P57" s="67">
        <f t="shared" si="12"/>
        <v>909562.5</v>
      </c>
      <c r="Q57" s="67">
        <f t="shared" si="12"/>
        <v>955040.625</v>
      </c>
      <c r="R57" s="87"/>
      <c r="S57" s="87"/>
      <c r="T57" s="87"/>
      <c r="U57" s="87"/>
      <c r="V57" s="87"/>
      <c r="W57" s="87"/>
      <c r="X57" s="87"/>
    </row>
    <row r="58" spans="1:25" x14ac:dyDescent="0.2">
      <c r="A58" s="5" t="s">
        <v>35</v>
      </c>
      <c r="B58" s="67">
        <f>$B$43*B39+B40*$B$44</f>
        <v>9000000</v>
      </c>
      <c r="C58" s="67">
        <f>$B$43*C39+C40*$B$44</f>
        <v>9180000</v>
      </c>
      <c r="D58" s="67">
        <f>$B$43*D39+D40*$B$44</f>
        <v>9363600</v>
      </c>
      <c r="E58" s="67">
        <f>$B$43*E39+E40*$B$44</f>
        <v>9550872</v>
      </c>
      <c r="G58" s="5" t="s">
        <v>31</v>
      </c>
      <c r="H58" s="61">
        <f>'Input Data'!$G22*H29</f>
        <v>150000</v>
      </c>
      <c r="I58" s="61">
        <f>'Input Data'!$G22*I29</f>
        <v>157500</v>
      </c>
      <c r="J58" s="61">
        <f>'Input Data'!$G22*J29</f>
        <v>165375</v>
      </c>
      <c r="K58" s="61">
        <f>'Input Data'!$G22*K29</f>
        <v>173643.75</v>
      </c>
      <c r="M58" s="58" t="s">
        <v>19</v>
      </c>
      <c r="N58" s="68">
        <f>SUM(N49:N57)</f>
        <v>45934450</v>
      </c>
      <c r="O58" s="68">
        <f>SUM(O49:O57)</f>
        <v>47064181.5</v>
      </c>
      <c r="P58" s="68">
        <f>SUM(P49:P57)</f>
        <v>48224629.8675</v>
      </c>
      <c r="Q58" s="68">
        <f>SUM(Q49:Q57)</f>
        <v>49416730.505662508</v>
      </c>
      <c r="R58" s="87"/>
      <c r="S58" s="87"/>
      <c r="T58" s="87"/>
      <c r="U58" s="87"/>
      <c r="V58" s="87"/>
      <c r="W58" s="87"/>
      <c r="X58" s="87"/>
    </row>
    <row r="59" spans="1:25" x14ac:dyDescent="0.2">
      <c r="A59" s="5" t="s">
        <v>36</v>
      </c>
      <c r="B59" s="67">
        <f>'Input Data'!$B$29</f>
        <v>200000</v>
      </c>
      <c r="C59" s="67">
        <f>'Input Data'!$B$29</f>
        <v>200000</v>
      </c>
      <c r="D59" s="67">
        <f>'Input Data'!$B$29</f>
        <v>200000</v>
      </c>
      <c r="E59" s="67">
        <f>'Input Data'!$B$29</f>
        <v>200000</v>
      </c>
      <c r="F59"/>
      <c r="G59" s="5" t="s">
        <v>32</v>
      </c>
      <c r="H59" s="61">
        <f>'Input Data'!$G23*H30</f>
        <v>825000</v>
      </c>
      <c r="I59" s="61">
        <f>'Input Data'!$G23*I30</f>
        <v>866250</v>
      </c>
      <c r="J59" s="61">
        <f>'Input Data'!$G23*J30</f>
        <v>909562.5</v>
      </c>
      <c r="K59" s="61">
        <f>'Input Data'!$G23*K30</f>
        <v>955040.625</v>
      </c>
      <c r="M59" s="1" t="s">
        <v>8</v>
      </c>
      <c r="N59" s="67"/>
      <c r="O59" s="67"/>
      <c r="P59" s="67"/>
      <c r="Q59" s="67"/>
      <c r="R59" s="87"/>
      <c r="S59" s="87"/>
      <c r="T59" s="87"/>
      <c r="U59" s="87"/>
      <c r="V59" s="87"/>
      <c r="W59" s="87"/>
      <c r="X59" s="87"/>
    </row>
    <row r="60" spans="1:25" x14ac:dyDescent="0.2">
      <c r="A60" s="5" t="s">
        <v>64</v>
      </c>
      <c r="B60" s="67">
        <f>B38*$B$42</f>
        <v>1500000</v>
      </c>
      <c r="C60" s="67">
        <f>C38*$B$42</f>
        <v>1500000</v>
      </c>
      <c r="D60" s="67">
        <f>D38*$B$42</f>
        <v>1500000</v>
      </c>
      <c r="E60" s="67">
        <f>E38*$B$42</f>
        <v>1500000</v>
      </c>
      <c r="G60" s="58" t="s">
        <v>19</v>
      </c>
      <c r="H60" s="62">
        <f>SUM(H51:H59)</f>
        <v>12434500</v>
      </c>
      <c r="I60" s="62">
        <f t="shared" ref="I60:K60" si="14">SUM(I51:I59)</f>
        <v>12894232.5</v>
      </c>
      <c r="J60" s="62">
        <f t="shared" si="14"/>
        <v>13371281.887499999</v>
      </c>
      <c r="K60" s="62">
        <f t="shared" si="14"/>
        <v>13866315.566062499</v>
      </c>
      <c r="M60" s="5" t="s">
        <v>35</v>
      </c>
      <c r="N60" s="67">
        <f t="shared" ref="N60:Q62" si="15">H62+B58</f>
        <v>13345000</v>
      </c>
      <c r="O60" s="67">
        <f t="shared" si="15"/>
        <v>13680985.5</v>
      </c>
      <c r="P60" s="67">
        <f t="shared" si="15"/>
        <v>14026226.0175</v>
      </c>
      <c r="Q60" s="67">
        <f t="shared" si="15"/>
        <v>14381001.254362499</v>
      </c>
      <c r="R60" s="87"/>
      <c r="S60" s="87"/>
      <c r="T60" s="87"/>
      <c r="U60" s="87"/>
      <c r="V60" s="87"/>
      <c r="W60" s="87"/>
      <c r="X60" s="87"/>
    </row>
    <row r="61" spans="1:25" x14ac:dyDescent="0.2">
      <c r="A61" s="5" t="s">
        <v>45</v>
      </c>
      <c r="B61" s="67"/>
      <c r="C61" s="18"/>
      <c r="D61" s="18"/>
      <c r="E61" s="18"/>
      <c r="G61" s="1" t="s">
        <v>8</v>
      </c>
      <c r="H61" s="18"/>
      <c r="I61" s="18"/>
      <c r="J61" s="18"/>
      <c r="K61" s="18"/>
      <c r="M61" s="5" t="s">
        <v>36</v>
      </c>
      <c r="N61" s="67">
        <f t="shared" si="15"/>
        <v>325000</v>
      </c>
      <c r="O61" s="67">
        <f t="shared" si="15"/>
        <v>325000</v>
      </c>
      <c r="P61" s="67">
        <f t="shared" si="15"/>
        <v>325000</v>
      </c>
      <c r="Q61" s="67">
        <f t="shared" si="15"/>
        <v>325000</v>
      </c>
      <c r="R61" s="87"/>
      <c r="S61" s="87"/>
      <c r="T61" s="87"/>
      <c r="U61" s="87"/>
      <c r="V61" s="87"/>
      <c r="W61" s="87"/>
      <c r="X61" s="87"/>
    </row>
    <row r="62" spans="1:25" x14ac:dyDescent="0.2">
      <c r="A62" s="48" t="s">
        <v>42</v>
      </c>
      <c r="B62" s="67">
        <f>'Input Data'!B32</f>
        <v>10400000</v>
      </c>
      <c r="C62" s="67">
        <f>B62*(1+$B$25)</f>
        <v>10608000</v>
      </c>
      <c r="D62" s="67">
        <f t="shared" ref="D62:E62" si="16">C62*(1+$B$25)</f>
        <v>10820160</v>
      </c>
      <c r="E62" s="67">
        <f t="shared" si="16"/>
        <v>11036563.200000001</v>
      </c>
      <c r="G62" s="5" t="s">
        <v>35</v>
      </c>
      <c r="H62" s="67">
        <f>H39*$H$45+H40*$H$46+H41*$H$47</f>
        <v>4345000</v>
      </c>
      <c r="I62" s="67">
        <f t="shared" ref="I62:K62" si="17">I39*$H$45+I40*$H$46+I41*$H$47</f>
        <v>4500985.5</v>
      </c>
      <c r="J62" s="67">
        <f t="shared" si="17"/>
        <v>4662626.0175000001</v>
      </c>
      <c r="K62" s="67">
        <f t="shared" si="17"/>
        <v>4830129.2543624993</v>
      </c>
      <c r="M62" s="5" t="s">
        <v>64</v>
      </c>
      <c r="N62" s="67">
        <f t="shared" si="15"/>
        <v>2150000</v>
      </c>
      <c r="O62" s="67">
        <f t="shared" si="15"/>
        <v>2150000</v>
      </c>
      <c r="P62" s="67">
        <f t="shared" si="15"/>
        <v>2150000</v>
      </c>
      <c r="Q62" s="67">
        <f t="shared" si="15"/>
        <v>2150000</v>
      </c>
      <c r="R62" s="87"/>
      <c r="S62" s="87"/>
      <c r="T62" s="87"/>
      <c r="U62" s="87"/>
      <c r="V62" s="87"/>
      <c r="W62" s="87"/>
      <c r="X62" s="87"/>
    </row>
    <row r="63" spans="1:25" x14ac:dyDescent="0.2">
      <c r="A63" s="48" t="s">
        <v>43</v>
      </c>
      <c r="B63" s="67">
        <f>'Input Data'!$B33</f>
        <v>325000</v>
      </c>
      <c r="C63" s="67">
        <f>'Input Data'!$B33</f>
        <v>325000</v>
      </c>
      <c r="D63" s="67">
        <f>'Input Data'!$B33</f>
        <v>325000</v>
      </c>
      <c r="E63" s="67">
        <f>'Input Data'!$B33</f>
        <v>325000</v>
      </c>
      <c r="G63" s="5" t="s">
        <v>36</v>
      </c>
      <c r="H63" s="67">
        <f>'Input Data'!$F30</f>
        <v>125000</v>
      </c>
      <c r="I63" s="67">
        <f>'Input Data'!$F30</f>
        <v>125000</v>
      </c>
      <c r="J63" s="67">
        <f>'Input Data'!$F30</f>
        <v>125000</v>
      </c>
      <c r="K63" s="67">
        <f>'Input Data'!$F30</f>
        <v>125000</v>
      </c>
      <c r="M63" s="5" t="s">
        <v>45</v>
      </c>
      <c r="N63" s="67">
        <f>H65+SUM(B62:B64)</f>
        <v>14865175</v>
      </c>
      <c r="O63" s="67">
        <f>I65+SUM(C62:C64)</f>
        <v>15073175</v>
      </c>
      <c r="P63" s="67">
        <f>J65+SUM(D62:D64)</f>
        <v>15285335</v>
      </c>
      <c r="Q63" s="67">
        <f>K65+SUM(E62:E64)</f>
        <v>15501738.200000001</v>
      </c>
      <c r="R63" s="87"/>
      <c r="S63" s="87"/>
      <c r="T63" s="87"/>
      <c r="U63" s="87"/>
      <c r="V63" s="87"/>
      <c r="W63" s="87"/>
      <c r="X63" s="87"/>
    </row>
    <row r="64" spans="1:25" x14ac:dyDescent="0.2">
      <c r="A64" s="48" t="s">
        <v>44</v>
      </c>
      <c r="B64" s="67">
        <f>'Input Data'!$B34</f>
        <v>2275000</v>
      </c>
      <c r="C64" s="67">
        <f>'Input Data'!$B34</f>
        <v>2275000</v>
      </c>
      <c r="D64" s="67">
        <f>'Input Data'!$B34</f>
        <v>2275000</v>
      </c>
      <c r="E64" s="67">
        <f>'Input Data'!$B34</f>
        <v>2275000</v>
      </c>
      <c r="G64" s="5" t="s">
        <v>64</v>
      </c>
      <c r="H64" s="67">
        <f>$H$44*H38</f>
        <v>650000</v>
      </c>
      <c r="I64" s="67">
        <f t="shared" ref="I64:K64" si="18">$H$44*I38</f>
        <v>650000</v>
      </c>
      <c r="J64" s="67">
        <f t="shared" si="18"/>
        <v>650000</v>
      </c>
      <c r="K64" s="67">
        <f t="shared" si="18"/>
        <v>650000</v>
      </c>
      <c r="M64" s="5" t="s">
        <v>38</v>
      </c>
      <c r="N64" s="67">
        <f t="shared" ref="N64:Q66" si="19">H66+B65</f>
        <v>7860000</v>
      </c>
      <c r="O64" s="67">
        <f t="shared" si="19"/>
        <v>8054700</v>
      </c>
      <c r="P64" s="67">
        <f t="shared" si="19"/>
        <v>8254606.5</v>
      </c>
      <c r="Q64" s="67">
        <f t="shared" si="19"/>
        <v>8459869.567499999</v>
      </c>
      <c r="R64" s="32"/>
    </row>
    <row r="65" spans="1:39" x14ac:dyDescent="0.2">
      <c r="A65" s="5" t="s">
        <v>38</v>
      </c>
      <c r="B65" s="67">
        <f>'Input Data'!B35</f>
        <v>5360000</v>
      </c>
      <c r="C65" s="67">
        <f>B65*(1+$B$25)</f>
        <v>5467200</v>
      </c>
      <c r="D65" s="67">
        <f t="shared" ref="D65:E65" si="20">C65*(1+$B$25)</f>
        <v>5576544</v>
      </c>
      <c r="E65" s="67">
        <f t="shared" si="20"/>
        <v>5688074.8799999999</v>
      </c>
      <c r="G65" s="5" t="s">
        <v>45</v>
      </c>
      <c r="H65" s="67">
        <f>'Input Data'!$F32</f>
        <v>1865175</v>
      </c>
      <c r="I65" s="67">
        <f>'Input Data'!$F32</f>
        <v>1865175</v>
      </c>
      <c r="J65" s="67">
        <f>'Input Data'!$F32</f>
        <v>1865175</v>
      </c>
      <c r="K65" s="67">
        <f>'Input Data'!$F32</f>
        <v>1865175</v>
      </c>
      <c r="M65" s="5" t="s">
        <v>39</v>
      </c>
      <c r="N65" s="67">
        <f t="shared" si="19"/>
        <v>1100000</v>
      </c>
      <c r="O65" s="67">
        <f t="shared" si="19"/>
        <v>1100000</v>
      </c>
      <c r="P65" s="67">
        <f t="shared" si="19"/>
        <v>1100000</v>
      </c>
      <c r="Q65" s="67">
        <f t="shared" si="19"/>
        <v>1100000</v>
      </c>
      <c r="R65" s="32"/>
    </row>
    <row r="66" spans="1:39" x14ac:dyDescent="0.2">
      <c r="A66" s="5" t="s">
        <v>39</v>
      </c>
      <c r="B66" s="67">
        <f>'Input Data'!$B36</f>
        <v>500000</v>
      </c>
      <c r="C66" s="67">
        <f>'Input Data'!$B36</f>
        <v>500000</v>
      </c>
      <c r="D66" s="67">
        <f>'Input Data'!$B36</f>
        <v>500000</v>
      </c>
      <c r="E66" s="67">
        <f>'Input Data'!$B36</f>
        <v>500000</v>
      </c>
      <c r="G66" s="5" t="s">
        <v>38</v>
      </c>
      <c r="H66" s="67">
        <f>'Input Data'!$F33</f>
        <v>2500000</v>
      </c>
      <c r="I66" s="67">
        <f>H66*(1+I16)</f>
        <v>2587500</v>
      </c>
      <c r="J66" s="67">
        <f t="shared" ref="J66:K66" si="21">I66*(1+J16)</f>
        <v>2678062.5</v>
      </c>
      <c r="K66" s="67">
        <f t="shared" si="21"/>
        <v>2771794.6875</v>
      </c>
      <c r="M66" s="5" t="s">
        <v>40</v>
      </c>
      <c r="N66" s="67">
        <f t="shared" si="19"/>
        <v>2300000</v>
      </c>
      <c r="O66" s="67">
        <f t="shared" si="19"/>
        <v>2300000</v>
      </c>
      <c r="P66" s="67">
        <f t="shared" si="19"/>
        <v>2300000</v>
      </c>
      <c r="Q66" s="67">
        <f t="shared" si="19"/>
        <v>2300000</v>
      </c>
      <c r="R66" s="32"/>
    </row>
    <row r="67" spans="1:39" customFormat="1" x14ac:dyDescent="0.2">
      <c r="A67" s="5" t="s">
        <v>40</v>
      </c>
      <c r="B67" s="67">
        <f>'Input Data'!$B37</f>
        <v>800000</v>
      </c>
      <c r="C67" s="67">
        <f>'Input Data'!$B37</f>
        <v>800000</v>
      </c>
      <c r="D67" s="67">
        <f>'Input Data'!$B37</f>
        <v>800000</v>
      </c>
      <c r="E67" s="67">
        <f>'Input Data'!$B37</f>
        <v>800000</v>
      </c>
      <c r="F67" s="5"/>
      <c r="G67" s="5" t="s">
        <v>39</v>
      </c>
      <c r="H67" s="67">
        <f>'Input Data'!$F34</f>
        <v>600000</v>
      </c>
      <c r="I67" s="67">
        <f>'Input Data'!$F34</f>
        <v>600000</v>
      </c>
      <c r="J67" s="67">
        <f>'Input Data'!$F34</f>
        <v>600000</v>
      </c>
      <c r="K67" s="67">
        <f>'Input Data'!$F34</f>
        <v>600000</v>
      </c>
      <c r="M67" s="58" t="s">
        <v>19</v>
      </c>
      <c r="N67" s="56">
        <f>SUM(N60:N66)</f>
        <v>41945175</v>
      </c>
      <c r="O67" s="56">
        <f>SUM(O60:O66)</f>
        <v>42683860.5</v>
      </c>
      <c r="P67" s="56">
        <f>SUM(P60:P66)</f>
        <v>43441167.517499998</v>
      </c>
      <c r="Q67" s="56">
        <f>SUM(Q60:Q66)</f>
        <v>44217609.021862507</v>
      </c>
    </row>
    <row r="68" spans="1:39" x14ac:dyDescent="0.2">
      <c r="A68" s="58" t="s">
        <v>19</v>
      </c>
      <c r="B68" s="56">
        <f>SUM(B58:B67)</f>
        <v>30360000</v>
      </c>
      <c r="C68" s="56">
        <f>SUM(C58:C67)</f>
        <v>30855200</v>
      </c>
      <c r="D68" s="56">
        <f t="shared" ref="D68:E68" si="22">SUM(D58:D67)</f>
        <v>31360304</v>
      </c>
      <c r="E68" s="56">
        <f t="shared" si="22"/>
        <v>31875510.080000002</v>
      </c>
      <c r="G68" s="5" t="s">
        <v>40</v>
      </c>
      <c r="H68" s="67">
        <f>'Input Data'!$F35</f>
        <v>1500000</v>
      </c>
      <c r="I68" s="67">
        <f>'Input Data'!$F35</f>
        <v>1500000</v>
      </c>
      <c r="J68" s="67">
        <f>'Input Data'!$F35</f>
        <v>1500000</v>
      </c>
      <c r="K68" s="67">
        <f>'Input Data'!$F35</f>
        <v>1500000</v>
      </c>
      <c r="M68" s="35"/>
      <c r="N68" s="57"/>
      <c r="O68" s="57"/>
      <c r="P68" s="57"/>
      <c r="Q68" s="57"/>
    </row>
    <row r="69" spans="1:39" x14ac:dyDescent="0.2">
      <c r="A69" s="48"/>
      <c r="B69" s="54"/>
      <c r="C69" s="54"/>
      <c r="D69" s="54"/>
      <c r="E69" s="54"/>
      <c r="G69" s="58" t="s">
        <v>19</v>
      </c>
      <c r="H69" s="56">
        <f>SUM(H62:H68)</f>
        <v>11585175</v>
      </c>
      <c r="I69" s="56">
        <f>SUM(I62:I68)</f>
        <v>11828660.5</v>
      </c>
      <c r="J69" s="56">
        <f>SUM(J62:J68)</f>
        <v>12080863.5175</v>
      </c>
      <c r="K69" s="56">
        <f>SUM(K62:K68)</f>
        <v>12342098.941862499</v>
      </c>
      <c r="L69" s="55"/>
      <c r="M69" s="1" t="s">
        <v>1</v>
      </c>
      <c r="N69" s="46">
        <f>N58-N67</f>
        <v>3989275</v>
      </c>
      <c r="O69" s="46">
        <f>O58-O67</f>
        <v>4380321</v>
      </c>
      <c r="P69" s="46">
        <f>P58-P67</f>
        <v>4783462.3500000015</v>
      </c>
      <c r="Q69" s="46">
        <f>Q58-Q67</f>
        <v>5199121.4838000014</v>
      </c>
    </row>
    <row r="70" spans="1:39" x14ac:dyDescent="0.2">
      <c r="A70" s="1" t="s">
        <v>1</v>
      </c>
      <c r="B70" s="46">
        <f>B56-B68</f>
        <v>3139950</v>
      </c>
      <c r="C70" s="46">
        <f>C56-C68</f>
        <v>3314749</v>
      </c>
      <c r="D70" s="46">
        <f>D56-D68</f>
        <v>3493043.9800000042</v>
      </c>
      <c r="E70" s="46">
        <f>E56-E68</f>
        <v>3674904.8596000038</v>
      </c>
      <c r="G70" s="35"/>
      <c r="H70" s="57"/>
      <c r="I70" s="57"/>
      <c r="J70" s="57"/>
      <c r="K70" s="57"/>
      <c r="M70" s="34" t="s">
        <v>2</v>
      </c>
      <c r="N70" s="36">
        <f>N69/N58</f>
        <v>8.6847126720794518E-2</v>
      </c>
      <c r="O70" s="36">
        <f>O69/O58</f>
        <v>9.307122445123156E-2</v>
      </c>
      <c r="P70" s="36">
        <f>P69/P58</f>
        <v>9.9191271413442569E-2</v>
      </c>
      <c r="Q70" s="36">
        <f>Q69/Q58</f>
        <v>0.10520974234028393</v>
      </c>
    </row>
    <row r="71" spans="1:39" s="32" customFormat="1" x14ac:dyDescent="0.2">
      <c r="A71" s="34" t="s">
        <v>2</v>
      </c>
      <c r="B71" s="36">
        <f>B70/B56</f>
        <v>9.3729990641777075E-2</v>
      </c>
      <c r="C71" s="36">
        <f>C70/C56</f>
        <v>9.7007724535965803E-2</v>
      </c>
      <c r="D71" s="36">
        <f>D70/D56</f>
        <v>0.1002211891381117</v>
      </c>
      <c r="E71" s="36">
        <f>E70/E56</f>
        <v>0.1033716446304115</v>
      </c>
      <c r="F71" s="5"/>
      <c r="G71" s="1" t="s">
        <v>1</v>
      </c>
      <c r="H71" s="46">
        <f>H60-H69</f>
        <v>849325</v>
      </c>
      <c r="I71" s="46">
        <f>I60-I69</f>
        <v>1065572</v>
      </c>
      <c r="J71" s="46">
        <f>J60-J69</f>
        <v>1290418.3699999992</v>
      </c>
      <c r="K71" s="46">
        <f>K60-K69</f>
        <v>1524216.6241999995</v>
      </c>
      <c r="M71" s="35"/>
      <c r="N71" s="54"/>
      <c r="O71" s="54"/>
      <c r="P71" s="54"/>
      <c r="Q71" s="54"/>
    </row>
    <row r="72" spans="1:39" s="32" customFormat="1" x14ac:dyDescent="0.2">
      <c r="A72" s="5"/>
      <c r="B72" s="54"/>
      <c r="C72" s="54"/>
      <c r="D72" s="54"/>
      <c r="E72" s="54"/>
      <c r="F72" s="5"/>
      <c r="G72" s="34" t="s">
        <v>2</v>
      </c>
      <c r="H72" s="36">
        <f>H71/H60</f>
        <v>6.8303912501507899E-2</v>
      </c>
      <c r="I72" s="36">
        <f>I71/I60</f>
        <v>8.2639428131918671E-2</v>
      </c>
      <c r="J72" s="36">
        <f>J71/J60</f>
        <v>9.6506706002984874E-2</v>
      </c>
      <c r="K72" s="36">
        <f>K71/K60</f>
        <v>0.10992225129582987</v>
      </c>
      <c r="M72" s="30" t="s">
        <v>5</v>
      </c>
      <c r="N72" s="33"/>
      <c r="O72" s="33"/>
      <c r="P72" s="33"/>
      <c r="Q72" s="33"/>
    </row>
    <row r="73" spans="1:39" s="32" customFormat="1" x14ac:dyDescent="0.2">
      <c r="A73" s="30" t="s">
        <v>5</v>
      </c>
      <c r="B73" s="33"/>
      <c r="C73" s="33"/>
      <c r="D73" s="33"/>
      <c r="E73" s="33"/>
      <c r="F73" s="5"/>
      <c r="G73" s="35"/>
      <c r="H73" s="57"/>
      <c r="I73" s="57"/>
      <c r="J73" s="57"/>
      <c r="K73" s="57"/>
      <c r="M73" s="5" t="s">
        <v>98</v>
      </c>
      <c r="N73" s="39">
        <f>N60/(N58)</f>
        <v>0.29052269048611662</v>
      </c>
      <c r="O73" s="39">
        <f t="shared" ref="O73:Q73" si="23">O60/(O58)</f>
        <v>0.29068784506536038</v>
      </c>
      <c r="P73" s="39">
        <f t="shared" si="23"/>
        <v>0.29085191645924247</v>
      </c>
      <c r="Q73" s="39">
        <f t="shared" si="23"/>
        <v>0.29101482650121147</v>
      </c>
    </row>
    <row r="74" spans="1:39" s="32" customFormat="1" x14ac:dyDescent="0.2">
      <c r="A74" s="5" t="s">
        <v>98</v>
      </c>
      <c r="B74" s="39">
        <f>B58/(B56)</f>
        <v>0.2686571173986827</v>
      </c>
      <c r="C74" s="39">
        <f t="shared" ref="C74:E74" si="24">C58/(C56)</f>
        <v>0.2686571173986827</v>
      </c>
      <c r="D74" s="39">
        <f t="shared" si="24"/>
        <v>0.26865711739868264</v>
      </c>
      <c r="E74" s="39">
        <f t="shared" si="24"/>
        <v>0.26865711739868264</v>
      </c>
      <c r="F74" s="5"/>
      <c r="G74" s="30" t="s">
        <v>5</v>
      </c>
      <c r="H74" s="33"/>
      <c r="I74" s="33"/>
      <c r="J74" s="33"/>
      <c r="K74" s="33"/>
      <c r="M74" t="s">
        <v>100</v>
      </c>
      <c r="N74" s="39">
        <f>N64/N58</f>
        <v>0.17111340181497764</v>
      </c>
      <c r="O74" s="39">
        <f t="shared" ref="O74:Q74" si="25">O64/O58</f>
        <v>0.17114288920545659</v>
      </c>
      <c r="P74" s="39">
        <f t="shared" si="25"/>
        <v>0.1711699296123167</v>
      </c>
      <c r="Q74" s="39">
        <f t="shared" si="25"/>
        <v>0.17119444125366831</v>
      </c>
    </row>
    <row r="75" spans="1:39" s="32" customFormat="1" x14ac:dyDescent="0.2">
      <c r="A75" t="s">
        <v>100</v>
      </c>
      <c r="B75" s="39">
        <f>B65/B56</f>
        <v>0.16000023880632658</v>
      </c>
      <c r="C75" s="39">
        <f t="shared" ref="C75:E75" si="26">C65/C56</f>
        <v>0.16000023880632658</v>
      </c>
      <c r="D75" s="39">
        <f t="shared" si="26"/>
        <v>0.16000023880632655</v>
      </c>
      <c r="E75" s="39">
        <f t="shared" si="26"/>
        <v>0.16000023880632655</v>
      </c>
      <c r="F75" s="5"/>
      <c r="G75" s="5" t="s">
        <v>98</v>
      </c>
      <c r="H75" s="39">
        <f>H62/(H60)</f>
        <v>0.3494310185371346</v>
      </c>
      <c r="I75" s="39">
        <f t="shared" ref="I75:K75" si="27">I62/(I60)</f>
        <v>0.34906967126581595</v>
      </c>
      <c r="J75" s="39">
        <f t="shared" si="27"/>
        <v>0.3487044889734025</v>
      </c>
      <c r="K75" s="39">
        <f t="shared" si="27"/>
        <v>0.34833544868862887</v>
      </c>
      <c r="M75" s="5" t="s">
        <v>14</v>
      </c>
      <c r="N75" s="39">
        <f>N62/N58</f>
        <v>4.6805828740738159E-2</v>
      </c>
      <c r="O75" s="39">
        <f t="shared" ref="O75:Q75" si="28">O62/O58</f>
        <v>4.5682298756220797E-2</v>
      </c>
      <c r="P75" s="39">
        <f t="shared" si="28"/>
        <v>4.4583027509122436E-2</v>
      </c>
      <c r="Q75" s="39">
        <f t="shared" si="28"/>
        <v>4.3507532327611967E-2</v>
      </c>
    </row>
    <row r="76" spans="1:39" s="32" customFormat="1" x14ac:dyDescent="0.2">
      <c r="A76" s="5" t="s">
        <v>14</v>
      </c>
      <c r="B76" s="39">
        <f>B60/B56</f>
        <v>4.4776186233113781E-2</v>
      </c>
      <c r="C76" s="39">
        <f t="shared" ref="C76:E76" si="29">C60/C56</f>
        <v>4.3898221797170373E-2</v>
      </c>
      <c r="D76" s="39">
        <f t="shared" si="29"/>
        <v>4.3037472350167028E-2</v>
      </c>
      <c r="E76" s="39">
        <f t="shared" si="29"/>
        <v>4.2193600343301003E-2</v>
      </c>
      <c r="F76" s="5"/>
      <c r="G76" t="s">
        <v>100</v>
      </c>
      <c r="H76" s="39">
        <f>H66/H60</f>
        <v>0.20105352044714303</v>
      </c>
      <c r="I76" s="39">
        <f>I66/I60</f>
        <v>0.20067111400387733</v>
      </c>
      <c r="J76" s="39">
        <f t="shared" ref="J76:K76" si="30">J66/J60</f>
        <v>0.20028464903604778</v>
      </c>
      <c r="K76" s="39">
        <f t="shared" si="30"/>
        <v>0.19989410123363313</v>
      </c>
      <c r="M76" t="s">
        <v>99</v>
      </c>
      <c r="N76" s="39">
        <f>B62/N58</f>
        <v>0.22640959018775669</v>
      </c>
      <c r="O76" s="39">
        <f>C62/O58</f>
        <v>0.22539433730511174</v>
      </c>
      <c r="P76" s="39">
        <f>D62/P58</f>
        <v>0.22436999578284011</v>
      </c>
      <c r="Q76" s="39">
        <f>E62/Q58</f>
        <v>0.22333657219057332</v>
      </c>
    </row>
    <row r="77" spans="1:39" s="32" customFormat="1" x14ac:dyDescent="0.2">
      <c r="A77" t="s">
        <v>99</v>
      </c>
      <c r="B77" s="39">
        <f>B62/B56</f>
        <v>0.31044822454958887</v>
      </c>
      <c r="C77" s="39">
        <f t="shared" ref="C77:E77" si="31">C62/C56</f>
        <v>0.31044822454958887</v>
      </c>
      <c r="D77" s="39">
        <f t="shared" si="31"/>
        <v>0.31044822454958887</v>
      </c>
      <c r="E77" s="39">
        <f t="shared" si="31"/>
        <v>0.31044822454958887</v>
      </c>
      <c r="F77" s="5"/>
      <c r="G77" s="5" t="s">
        <v>14</v>
      </c>
      <c r="H77" s="39">
        <f>H64/H60</f>
        <v>5.2273915316257184E-2</v>
      </c>
      <c r="I77" s="39">
        <f t="shared" ref="I77:K77" si="32">I64/I60</f>
        <v>5.0410134918848409E-2</v>
      </c>
      <c r="J77" s="39">
        <f t="shared" si="32"/>
        <v>4.8611644378512849E-2</v>
      </c>
      <c r="K77" s="39">
        <f t="shared" si="32"/>
        <v>4.6876186893572556E-2</v>
      </c>
      <c r="M77" t="s">
        <v>101</v>
      </c>
      <c r="N77" s="39">
        <f>(N55+N57+N56)/N58</f>
        <v>3.5594199995863669E-2</v>
      </c>
      <c r="O77" s="39">
        <f>(O55+O57+O56)/O58</f>
        <v>3.6476784367321886E-2</v>
      </c>
      <c r="P77" s="39">
        <f>(P55+P57+P56)/P58</f>
        <v>3.7378980511674528E-2</v>
      </c>
      <c r="Q77" s="39">
        <f>(Q55+Q57+Q56)/Q58</f>
        <v>3.8301135174920557E-2</v>
      </c>
    </row>
    <row r="78" spans="1:39" x14ac:dyDescent="0.2">
      <c r="B78" s="31"/>
      <c r="C78" s="31"/>
      <c r="D78" s="31"/>
      <c r="E78" s="31"/>
      <c r="G78" s="35"/>
      <c r="H78" s="54"/>
      <c r="I78" s="54"/>
      <c r="J78" s="54"/>
      <c r="K78" s="54"/>
      <c r="M78" s="35"/>
      <c r="N78" s="54"/>
      <c r="O78" s="54"/>
      <c r="P78" s="54"/>
      <c r="Q78" s="54"/>
    </row>
    <row r="79" spans="1:39" s="38" customFormat="1" ht="15" x14ac:dyDescent="0.2">
      <c r="A79" s="49" t="s">
        <v>7</v>
      </c>
      <c r="B79" s="50"/>
      <c r="C79" s="5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
      <c r="AL79" s="5"/>
      <c r="AM79" s="5"/>
    </row>
    <row r="80" spans="1:39" x14ac:dyDescent="0.2">
      <c r="A80"/>
      <c r="B80"/>
      <c r="C80"/>
      <c r="D80"/>
      <c r="E80"/>
      <c r="F80"/>
      <c r="G80"/>
      <c r="H80"/>
      <c r="I80"/>
      <c r="J80"/>
      <c r="K80"/>
      <c r="L80"/>
      <c r="M80"/>
      <c r="N80"/>
      <c r="O80"/>
      <c r="P80"/>
      <c r="Q80"/>
      <c r="R80"/>
      <c r="S80"/>
      <c r="T80"/>
      <c r="U80"/>
      <c r="V80"/>
      <c r="W80"/>
      <c r="X80"/>
      <c r="Y80"/>
      <c r="Z80"/>
      <c r="AA80"/>
      <c r="AB80"/>
      <c r="AC80"/>
      <c r="AD80"/>
      <c r="AE80"/>
      <c r="AF80"/>
      <c r="AG80"/>
    </row>
    <row r="81" spans="1:33" ht="15" thickBot="1" x14ac:dyDescent="0.25">
      <c r="A81" s="16" t="s">
        <v>116</v>
      </c>
      <c r="B81" s="16"/>
      <c r="C81" s="16"/>
      <c r="D81" s="16"/>
      <c r="E81" s="16"/>
      <c r="F81" s="16"/>
      <c r="G81" s="16"/>
      <c r="H81" s="16"/>
      <c r="I81" s="16"/>
      <c r="J81" s="16"/>
      <c r="K81" s="16"/>
      <c r="L81" s="16"/>
      <c r="M81" s="16"/>
      <c r="N81"/>
      <c r="O81"/>
      <c r="P81"/>
      <c r="Q81"/>
      <c r="R81"/>
      <c r="S81"/>
      <c r="T81"/>
      <c r="U81"/>
      <c r="V81"/>
      <c r="W81"/>
      <c r="X81"/>
      <c r="Y81"/>
      <c r="Z81"/>
      <c r="AA81"/>
      <c r="AB81"/>
      <c r="AC81"/>
      <c r="AD81"/>
      <c r="AE81"/>
      <c r="AF81"/>
      <c r="AG81"/>
    </row>
    <row r="82" spans="1:33" ht="4" customHeight="1" thickBot="1" x14ac:dyDescent="0.25">
      <c r="A82" s="16"/>
      <c r="B82" s="1"/>
      <c r="C82" s="16"/>
      <c r="D82" s="16"/>
      <c r="E82" s="16"/>
      <c r="F82" s="1"/>
      <c r="G82" s="16"/>
      <c r="H82" s="1"/>
      <c r="I82" s="16"/>
      <c r="J82" s="16"/>
      <c r="K82" s="16"/>
      <c r="L82" s="1"/>
      <c r="M82" s="16"/>
      <c r="N82" s="1"/>
      <c r="O82" s="1"/>
      <c r="P82" s="1"/>
      <c r="Q82" s="1"/>
      <c r="R82" s="1"/>
      <c r="S82" s="1"/>
      <c r="T82" s="1"/>
      <c r="U82" s="1"/>
      <c r="V82" s="1"/>
      <c r="W82"/>
      <c r="X82"/>
      <c r="Y82"/>
      <c r="Z82"/>
      <c r="AA82"/>
      <c r="AB82"/>
      <c r="AC82"/>
      <c r="AD82"/>
      <c r="AE82"/>
      <c r="AF82"/>
      <c r="AG82"/>
    </row>
    <row r="83" spans="1:33" ht="18" thickBot="1" x14ac:dyDescent="0.25">
      <c r="A83" s="72" t="s">
        <v>105</v>
      </c>
      <c r="B83" s="1"/>
      <c r="C83" s="177" t="s">
        <v>114</v>
      </c>
      <c r="D83" s="178"/>
      <c r="E83" s="179"/>
      <c r="F83"/>
      <c r="G83" s="72" t="s">
        <v>107</v>
      </c>
      <c r="H83"/>
      <c r="I83" s="177" t="s">
        <v>108</v>
      </c>
      <c r="J83" s="178"/>
      <c r="K83" s="179"/>
      <c r="L83"/>
      <c r="M83" s="72" t="s">
        <v>111</v>
      </c>
      <c r="N83"/>
      <c r="O83"/>
      <c r="P83"/>
      <c r="Q83"/>
      <c r="R83"/>
      <c r="S83"/>
      <c r="T83"/>
      <c r="U83"/>
      <c r="V83"/>
      <c r="W83"/>
      <c r="X83"/>
      <c r="Y83"/>
      <c r="Z83"/>
      <c r="AA83"/>
      <c r="AB83"/>
      <c r="AC83"/>
      <c r="AD83"/>
      <c r="AE83"/>
      <c r="AF83"/>
      <c r="AG83"/>
    </row>
    <row r="84" spans="1:33" ht="175" customHeight="1" x14ac:dyDescent="0.2">
      <c r="A84" s="74" t="s">
        <v>113</v>
      </c>
      <c r="B84"/>
      <c r="C84" s="174" t="s">
        <v>106</v>
      </c>
      <c r="D84" s="175"/>
      <c r="E84" s="176"/>
      <c r="F84"/>
      <c r="G84" s="74" t="s">
        <v>110</v>
      </c>
      <c r="H84"/>
      <c r="I84" s="174" t="s">
        <v>109</v>
      </c>
      <c r="J84" s="175"/>
      <c r="K84" s="176"/>
      <c r="L84"/>
      <c r="M84" s="74" t="s">
        <v>115</v>
      </c>
      <c r="N84"/>
      <c r="O84"/>
      <c r="P84"/>
      <c r="Q84"/>
      <c r="R84"/>
      <c r="S84"/>
      <c r="T84"/>
      <c r="U84"/>
      <c r="V84"/>
      <c r="W84"/>
      <c r="X84"/>
      <c r="Y84"/>
      <c r="Z84"/>
      <c r="AA84"/>
      <c r="AB84"/>
      <c r="AC84"/>
      <c r="AD84"/>
      <c r="AE84"/>
      <c r="AF84"/>
      <c r="AG84"/>
    </row>
    <row r="85" spans="1:33" ht="15" thickBot="1" x14ac:dyDescent="0.25">
      <c r="A85" s="1"/>
      <c r="B85"/>
      <c r="C85"/>
      <c r="D85"/>
      <c r="E85"/>
      <c r="F85"/>
      <c r="G85"/>
      <c r="H85"/>
      <c r="I85"/>
      <c r="J85"/>
      <c r="K85"/>
      <c r="L85"/>
      <c r="M85"/>
      <c r="N85"/>
      <c r="O85"/>
      <c r="P85"/>
      <c r="Q85"/>
      <c r="R85"/>
      <c r="S85"/>
      <c r="T85"/>
      <c r="U85"/>
      <c r="V85"/>
      <c r="W85"/>
      <c r="X85"/>
      <c r="Y85"/>
      <c r="Z85"/>
      <c r="AA85"/>
      <c r="AB85"/>
      <c r="AC85"/>
      <c r="AD85"/>
      <c r="AE85"/>
      <c r="AF85"/>
      <c r="AG85"/>
    </row>
    <row r="86" spans="1:33" ht="18" thickBot="1" x14ac:dyDescent="0.25">
      <c r="A86" s="73" t="s">
        <v>112</v>
      </c>
      <c r="B86"/>
      <c r="C86" s="182" t="s">
        <v>112</v>
      </c>
      <c r="D86" s="183"/>
      <c r="E86" s="184"/>
      <c r="F86"/>
      <c r="G86" s="73" t="s">
        <v>112</v>
      </c>
      <c r="H86"/>
      <c r="I86" s="182" t="s">
        <v>112</v>
      </c>
      <c r="J86" s="183"/>
      <c r="K86" s="184"/>
      <c r="L86"/>
      <c r="M86" s="73" t="s">
        <v>112</v>
      </c>
      <c r="N86"/>
      <c r="O86"/>
      <c r="P86"/>
      <c r="Q86"/>
      <c r="R86"/>
      <c r="S86"/>
      <c r="T86"/>
      <c r="U86"/>
      <c r="V86"/>
      <c r="W86"/>
      <c r="X86"/>
      <c r="Y86"/>
      <c r="Z86"/>
      <c r="AA86"/>
      <c r="AB86"/>
      <c r="AC86"/>
      <c r="AD86"/>
      <c r="AE86"/>
      <c r="AF86"/>
      <c r="AG86"/>
    </row>
    <row r="87" spans="1:33" ht="133" customHeight="1" x14ac:dyDescent="0.2">
      <c r="A87" s="75" t="s">
        <v>117</v>
      </c>
      <c r="B87"/>
      <c r="C87" s="185" t="s">
        <v>118</v>
      </c>
      <c r="D87" s="186"/>
      <c r="E87" s="187"/>
      <c r="F87"/>
      <c r="G87" s="75" t="s">
        <v>120</v>
      </c>
      <c r="H87"/>
      <c r="I87" s="185" t="s">
        <v>119</v>
      </c>
      <c r="J87" s="186"/>
      <c r="K87" s="187"/>
      <c r="L87"/>
      <c r="M87" s="75" t="s">
        <v>121</v>
      </c>
      <c r="N87"/>
      <c r="O87"/>
      <c r="P87"/>
      <c r="Q87"/>
      <c r="R87"/>
      <c r="S87"/>
      <c r="T87"/>
      <c r="U87"/>
      <c r="V87"/>
      <c r="W87"/>
      <c r="X87"/>
      <c r="Y87"/>
      <c r="Z87"/>
      <c r="AA87"/>
      <c r="AB87"/>
      <c r="AC87"/>
      <c r="AD87"/>
      <c r="AE87"/>
      <c r="AF87"/>
      <c r="AG87"/>
    </row>
    <row r="88" spans="1:33" ht="5" customHeight="1" x14ac:dyDescent="0.2">
      <c r="B88"/>
      <c r="C88"/>
      <c r="D88"/>
      <c r="E88"/>
      <c r="F88"/>
      <c r="G88"/>
      <c r="H88"/>
      <c r="I88"/>
      <c r="J88"/>
      <c r="K88"/>
      <c r="L88"/>
      <c r="M88"/>
      <c r="N88"/>
      <c r="O88"/>
      <c r="P88"/>
      <c r="Q88"/>
      <c r="R88"/>
      <c r="S88"/>
      <c r="T88"/>
      <c r="U88"/>
      <c r="V88"/>
      <c r="W88"/>
      <c r="X88"/>
      <c r="Y88"/>
      <c r="Z88"/>
      <c r="AA88"/>
      <c r="AB88"/>
      <c r="AC88"/>
      <c r="AD88"/>
      <c r="AE88"/>
      <c r="AF88"/>
      <c r="AG88"/>
    </row>
    <row r="89" spans="1:33" ht="15" thickBot="1" x14ac:dyDescent="0.25">
      <c r="A89" s="16" t="s">
        <v>131</v>
      </c>
      <c r="B89" s="16"/>
      <c r="C89" s="16"/>
      <c r="D89" s="16"/>
      <c r="E89" s="16"/>
      <c r="F89" s="16"/>
      <c r="G89" s="16"/>
      <c r="H89" s="16"/>
      <c r="I89" s="16"/>
      <c r="J89" s="16"/>
      <c r="K89" s="16"/>
      <c r="L89" s="16"/>
      <c r="M89" s="16"/>
      <c r="N89"/>
      <c r="O89"/>
      <c r="P89"/>
      <c r="Q89"/>
      <c r="R89"/>
      <c r="S89"/>
      <c r="T89"/>
      <c r="U89"/>
      <c r="V89"/>
      <c r="W89"/>
      <c r="X89"/>
      <c r="Y89"/>
      <c r="Z89"/>
      <c r="AA89"/>
      <c r="AB89"/>
      <c r="AC89"/>
      <c r="AD89"/>
      <c r="AE89"/>
      <c r="AF89"/>
      <c r="AG89"/>
    </row>
    <row r="90" spans="1:33" x14ac:dyDescent="0.2">
      <c r="A90" s="79" t="s">
        <v>122</v>
      </c>
      <c r="B90" s="30">
        <v>2024</v>
      </c>
      <c r="C90" s="30">
        <v>2025</v>
      </c>
      <c r="D90" s="30">
        <v>2026</v>
      </c>
      <c r="E90" s="30">
        <v>2027</v>
      </c>
      <c r="F90" s="1" t="s">
        <v>123</v>
      </c>
      <c r="G90"/>
      <c r="H90"/>
      <c r="I90"/>
      <c r="J90"/>
      <c r="K90"/>
      <c r="L90"/>
      <c r="M90"/>
      <c r="N90"/>
      <c r="O90"/>
      <c r="P90"/>
      <c r="Q90"/>
      <c r="R90"/>
      <c r="S90"/>
      <c r="T90"/>
      <c r="U90"/>
      <c r="V90"/>
      <c r="W90"/>
      <c r="X90"/>
      <c r="Y90"/>
      <c r="Z90"/>
      <c r="AA90"/>
      <c r="AB90"/>
      <c r="AC90"/>
      <c r="AD90"/>
      <c r="AE90"/>
      <c r="AF90"/>
      <c r="AG90"/>
    </row>
    <row r="91" spans="1:33" x14ac:dyDescent="0.2">
      <c r="A91" t="s">
        <v>185</v>
      </c>
      <c r="B91" s="20">
        <v>0</v>
      </c>
      <c r="C91" s="20">
        <v>0.04</v>
      </c>
      <c r="D91" s="42">
        <v>3.5000000000000003E-2</v>
      </c>
      <c r="E91" s="42">
        <v>0.04</v>
      </c>
      <c r="F91" t="s">
        <v>176</v>
      </c>
      <c r="G91"/>
      <c r="H91"/>
      <c r="I91"/>
      <c r="J91"/>
      <c r="K91"/>
      <c r="L91"/>
      <c r="M91"/>
      <c r="N91"/>
      <c r="O91"/>
      <c r="P91"/>
      <c r="Q91"/>
      <c r="R91"/>
      <c r="S91"/>
      <c r="T91"/>
      <c r="U91"/>
      <c r="V91"/>
      <c r="W91"/>
      <c r="X91"/>
      <c r="Y91"/>
      <c r="Z91"/>
      <c r="AA91"/>
      <c r="AB91"/>
      <c r="AC91"/>
      <c r="AD91"/>
      <c r="AE91"/>
      <c r="AF91"/>
      <c r="AG91"/>
    </row>
    <row r="92" spans="1:33" ht="14" customHeight="1" x14ac:dyDescent="0.2">
      <c r="A92" t="s">
        <v>150</v>
      </c>
      <c r="B92" s="76">
        <v>0</v>
      </c>
      <c r="C92" s="89">
        <v>0.05</v>
      </c>
      <c r="D92" s="89">
        <v>7.4999999999999997E-2</v>
      </c>
      <c r="E92" s="89">
        <v>0.1</v>
      </c>
      <c r="F92" t="s">
        <v>151</v>
      </c>
      <c r="G92"/>
      <c r="H92"/>
      <c r="I92"/>
      <c r="J92"/>
      <c r="K92"/>
      <c r="L92"/>
      <c r="M92"/>
      <c r="N92"/>
      <c r="O92"/>
      <c r="P92"/>
      <c r="Q92"/>
      <c r="R92"/>
      <c r="S92"/>
      <c r="T92"/>
      <c r="U92"/>
      <c r="V92"/>
      <c r="W92"/>
      <c r="X92"/>
      <c r="Y92"/>
      <c r="Z92"/>
      <c r="AA92"/>
      <c r="AB92"/>
      <c r="AC92"/>
      <c r="AD92"/>
      <c r="AE92"/>
      <c r="AF92"/>
      <c r="AG92"/>
    </row>
    <row r="93" spans="1:33" x14ac:dyDescent="0.2">
      <c r="A93" t="s">
        <v>125</v>
      </c>
      <c r="B93" s="78">
        <v>0</v>
      </c>
      <c r="C93" s="78">
        <v>0</v>
      </c>
      <c r="D93" s="78">
        <v>5000</v>
      </c>
      <c r="E93" s="78">
        <v>10000</v>
      </c>
      <c r="F93" t="s">
        <v>154</v>
      </c>
      <c r="G93"/>
      <c r="H93"/>
      <c r="I93"/>
      <c r="J93"/>
      <c r="K93"/>
      <c r="L93"/>
      <c r="M93"/>
      <c r="N93"/>
      <c r="O93"/>
      <c r="P93"/>
      <c r="Q93"/>
      <c r="R93"/>
      <c r="S93"/>
      <c r="T93"/>
      <c r="U93"/>
      <c r="V93"/>
      <c r="W93"/>
      <c r="X93"/>
      <c r="Y93"/>
      <c r="Z93"/>
      <c r="AA93"/>
      <c r="AB93"/>
      <c r="AC93"/>
      <c r="AD93"/>
      <c r="AE93"/>
      <c r="AF93"/>
      <c r="AG93"/>
    </row>
    <row r="94" spans="1:33" x14ac:dyDescent="0.2">
      <c r="A94" t="s">
        <v>148</v>
      </c>
      <c r="B94" s="78">
        <v>0</v>
      </c>
      <c r="C94" s="78">
        <v>0</v>
      </c>
      <c r="D94" s="81">
        <f>12*15</f>
        <v>180</v>
      </c>
      <c r="E94" s="81">
        <f>12*30</f>
        <v>360</v>
      </c>
      <c r="F94" t="s">
        <v>149</v>
      </c>
      <c r="G94"/>
      <c r="H94"/>
      <c r="I94"/>
      <c r="J94"/>
      <c r="K94"/>
      <c r="L94"/>
      <c r="M94"/>
      <c r="N94"/>
      <c r="O94"/>
      <c r="P94"/>
      <c r="Q94"/>
      <c r="R94"/>
      <c r="S94"/>
      <c r="T94"/>
      <c r="U94"/>
      <c r="V94"/>
      <c r="W94"/>
      <c r="X94"/>
      <c r="Y94"/>
      <c r="Z94"/>
      <c r="AA94"/>
      <c r="AB94"/>
      <c r="AC94"/>
      <c r="AD94"/>
      <c r="AE94"/>
      <c r="AF94"/>
      <c r="AG94"/>
    </row>
    <row r="95" spans="1:33" x14ac:dyDescent="0.2">
      <c r="A95" t="s">
        <v>124</v>
      </c>
      <c r="B95" s="76">
        <v>0</v>
      </c>
      <c r="C95" s="76">
        <v>-0.3</v>
      </c>
      <c r="D95" s="76">
        <v>-0.7</v>
      </c>
      <c r="E95" s="76">
        <v>-1</v>
      </c>
      <c r="F95" t="s">
        <v>174</v>
      </c>
      <c r="G95"/>
      <c r="H95"/>
      <c r="I95"/>
      <c r="J95"/>
      <c r="K95"/>
      <c r="L95"/>
      <c r="M95"/>
      <c r="N95"/>
      <c r="O95"/>
      <c r="P95"/>
      <c r="Q95"/>
      <c r="R95"/>
      <c r="S95"/>
      <c r="T95"/>
      <c r="U95"/>
      <c r="V95"/>
      <c r="W95"/>
      <c r="X95"/>
      <c r="Y95"/>
      <c r="Z95"/>
      <c r="AA95"/>
      <c r="AB95"/>
      <c r="AC95"/>
      <c r="AD95"/>
      <c r="AE95"/>
      <c r="AF95"/>
      <c r="AG95"/>
    </row>
    <row r="96" spans="1:33" x14ac:dyDescent="0.2">
      <c r="A96" t="s">
        <v>137</v>
      </c>
      <c r="B96" s="82">
        <f>N64/(SUM(N21:N25,N28:N30))</f>
        <v>37.113460476053319</v>
      </c>
      <c r="C96" s="82">
        <v>33</v>
      </c>
      <c r="D96" s="82">
        <v>29</v>
      </c>
      <c r="E96" s="82">
        <v>25</v>
      </c>
      <c r="F96" t="s">
        <v>138</v>
      </c>
      <c r="G96"/>
      <c r="H96"/>
      <c r="I96"/>
      <c r="J96"/>
      <c r="K96"/>
      <c r="L96"/>
      <c r="M96"/>
      <c r="N96"/>
      <c r="O96"/>
      <c r="P96"/>
      <c r="Q96"/>
      <c r="R96"/>
      <c r="S96"/>
      <c r="T96"/>
      <c r="U96"/>
      <c r="V96"/>
      <c r="W96"/>
      <c r="X96"/>
      <c r="Y96"/>
      <c r="Z96"/>
      <c r="AA96"/>
      <c r="AB96"/>
      <c r="AC96"/>
      <c r="AD96"/>
      <c r="AE96"/>
      <c r="AF96"/>
      <c r="AG96"/>
    </row>
    <row r="97" spans="1:33" x14ac:dyDescent="0.2">
      <c r="A97" t="s">
        <v>140</v>
      </c>
      <c r="B97" s="82">
        <f>'Input Data'!B37</f>
        <v>800000</v>
      </c>
      <c r="C97" s="82">
        <v>750000</v>
      </c>
      <c r="D97" s="82">
        <v>500000</v>
      </c>
      <c r="E97" s="82">
        <v>60000</v>
      </c>
      <c r="F97" t="s">
        <v>175</v>
      </c>
      <c r="G97"/>
      <c r="H97"/>
      <c r="I97"/>
      <c r="J97"/>
      <c r="K97"/>
      <c r="L97"/>
      <c r="M97"/>
      <c r="N97"/>
      <c r="O97"/>
      <c r="P97"/>
      <c r="Q97"/>
      <c r="R97"/>
      <c r="S97"/>
      <c r="T97"/>
      <c r="U97"/>
      <c r="V97"/>
      <c r="W97"/>
      <c r="X97"/>
      <c r="Y97"/>
      <c r="Z97"/>
      <c r="AA97"/>
      <c r="AB97"/>
      <c r="AC97"/>
      <c r="AD97"/>
      <c r="AE97"/>
      <c r="AF97"/>
      <c r="AG97"/>
    </row>
    <row r="98" spans="1:33" x14ac:dyDescent="0.2">
      <c r="A98" s="79" t="s">
        <v>127</v>
      </c>
      <c r="B98" s="30">
        <v>2024</v>
      </c>
      <c r="C98" s="30">
        <v>2025</v>
      </c>
      <c r="D98" s="30">
        <v>2026</v>
      </c>
      <c r="E98" s="30">
        <v>2027</v>
      </c>
      <c r="F98"/>
      <c r="G98"/>
      <c r="H98"/>
      <c r="I98"/>
      <c r="J98"/>
      <c r="K98"/>
      <c r="L98"/>
      <c r="M98"/>
      <c r="N98"/>
      <c r="O98"/>
      <c r="P98"/>
      <c r="Q98"/>
      <c r="R98"/>
      <c r="S98"/>
      <c r="T98"/>
      <c r="U98"/>
      <c r="V98"/>
      <c r="W98"/>
      <c r="X98"/>
      <c r="Y98"/>
      <c r="Z98"/>
      <c r="AA98"/>
      <c r="AB98"/>
      <c r="AC98"/>
      <c r="AD98"/>
      <c r="AE98"/>
      <c r="AF98"/>
      <c r="AG98"/>
    </row>
    <row r="99" spans="1:33" x14ac:dyDescent="0.2">
      <c r="A99" t="s">
        <v>126</v>
      </c>
      <c r="B99" s="78">
        <v>0</v>
      </c>
      <c r="C99" s="78">
        <v>-4</v>
      </c>
      <c r="D99" s="78">
        <v>-12</v>
      </c>
      <c r="E99" s="78">
        <v>0</v>
      </c>
      <c r="F99" t="s">
        <v>132</v>
      </c>
      <c r="G99"/>
      <c r="H99"/>
      <c r="I99"/>
      <c r="J99"/>
      <c r="K99"/>
      <c r="L99"/>
      <c r="M99"/>
      <c r="N99"/>
      <c r="O99"/>
      <c r="P99"/>
      <c r="Q99"/>
      <c r="R99"/>
      <c r="S99"/>
      <c r="T99"/>
      <c r="U99"/>
      <c r="V99"/>
      <c r="W99"/>
      <c r="X99"/>
      <c r="Y99"/>
      <c r="Z99"/>
      <c r="AA99"/>
      <c r="AB99"/>
      <c r="AC99"/>
      <c r="AD99"/>
      <c r="AE99"/>
      <c r="AF99"/>
      <c r="AG99"/>
    </row>
    <row r="100" spans="1:33" x14ac:dyDescent="0.2">
      <c r="A100" t="s">
        <v>128</v>
      </c>
      <c r="B100">
        <v>0</v>
      </c>
      <c r="C100">
        <v>0</v>
      </c>
      <c r="D100">
        <v>-5</v>
      </c>
      <c r="E100">
        <v>-10</v>
      </c>
      <c r="F100" t="s">
        <v>164</v>
      </c>
      <c r="G100"/>
      <c r="H100"/>
      <c r="I100"/>
      <c r="J100"/>
      <c r="K100"/>
      <c r="L100"/>
      <c r="M100"/>
      <c r="N100"/>
      <c r="O100"/>
      <c r="P100"/>
      <c r="Q100"/>
      <c r="R100"/>
      <c r="S100"/>
      <c r="T100"/>
      <c r="U100"/>
      <c r="V100"/>
      <c r="W100"/>
      <c r="X100"/>
      <c r="Y100"/>
      <c r="Z100"/>
      <c r="AA100"/>
      <c r="AB100"/>
      <c r="AC100"/>
      <c r="AD100"/>
      <c r="AE100"/>
      <c r="AF100"/>
      <c r="AG100"/>
    </row>
    <row r="101" spans="1:33" x14ac:dyDescent="0.2">
      <c r="A101" t="s">
        <v>129</v>
      </c>
      <c r="B101">
        <v>0</v>
      </c>
      <c r="C101">
        <v>10</v>
      </c>
      <c r="D101">
        <v>10</v>
      </c>
      <c r="E101">
        <v>12</v>
      </c>
      <c r="F101" t="s">
        <v>130</v>
      </c>
      <c r="G101"/>
      <c r="H101"/>
      <c r="I101"/>
      <c r="J101"/>
      <c r="K101"/>
      <c r="L101"/>
      <c r="M101"/>
      <c r="N101"/>
      <c r="O101"/>
      <c r="P101"/>
      <c r="Q101"/>
      <c r="R101"/>
      <c r="S101"/>
      <c r="T101"/>
      <c r="U101"/>
      <c r="V101"/>
      <c r="W101"/>
      <c r="X101"/>
      <c r="Y101"/>
      <c r="Z101"/>
      <c r="AA101"/>
      <c r="AB101"/>
      <c r="AC101"/>
      <c r="AD101"/>
      <c r="AE101"/>
      <c r="AF101"/>
      <c r="AG101"/>
    </row>
    <row r="102" spans="1:33" x14ac:dyDescent="0.2">
      <c r="A102" s="79" t="s">
        <v>133</v>
      </c>
      <c r="B102" s="30">
        <v>2024</v>
      </c>
      <c r="C102" s="30">
        <v>2025</v>
      </c>
      <c r="D102" s="30">
        <v>2026</v>
      </c>
      <c r="E102" s="30">
        <v>2027</v>
      </c>
      <c r="F102"/>
      <c r="G102"/>
      <c r="H102"/>
      <c r="I102"/>
      <c r="J102"/>
      <c r="K102"/>
      <c r="L102"/>
      <c r="M102"/>
      <c r="N102"/>
      <c r="O102"/>
      <c r="P102"/>
      <c r="Q102"/>
      <c r="R102"/>
      <c r="S102"/>
      <c r="T102"/>
      <c r="U102"/>
      <c r="V102"/>
      <c r="W102"/>
      <c r="X102"/>
      <c r="Y102"/>
      <c r="Z102"/>
      <c r="AA102"/>
      <c r="AB102"/>
      <c r="AC102"/>
      <c r="AD102"/>
      <c r="AE102"/>
      <c r="AF102"/>
      <c r="AG102"/>
    </row>
    <row r="103" spans="1:33" x14ac:dyDescent="0.2">
      <c r="A103" t="s">
        <v>126</v>
      </c>
      <c r="B103" s="80">
        <f>N41</f>
        <v>53750</v>
      </c>
      <c r="C103" s="80">
        <v>53750</v>
      </c>
      <c r="D103" s="80">
        <v>56000</v>
      </c>
      <c r="E103" s="80">
        <v>60000</v>
      </c>
      <c r="F103" t="s">
        <v>157</v>
      </c>
      <c r="G103"/>
      <c r="H103"/>
      <c r="I103"/>
      <c r="J103"/>
      <c r="K103"/>
      <c r="L103"/>
      <c r="M103"/>
      <c r="N103"/>
      <c r="O103"/>
      <c r="P103"/>
      <c r="Q103"/>
      <c r="R103"/>
      <c r="S103"/>
      <c r="T103"/>
      <c r="U103"/>
      <c r="V103"/>
      <c r="W103"/>
      <c r="X103"/>
      <c r="Y103"/>
      <c r="Z103"/>
      <c r="AA103"/>
      <c r="AB103"/>
      <c r="AC103"/>
      <c r="AD103"/>
      <c r="AE103"/>
      <c r="AF103"/>
      <c r="AG103"/>
    </row>
    <row r="104" spans="1:33" x14ac:dyDescent="0.2">
      <c r="A104" t="s">
        <v>128</v>
      </c>
      <c r="B104" s="80">
        <f>N44</f>
        <v>52979.354838709674</v>
      </c>
      <c r="C104" s="80">
        <v>52979.354838709674</v>
      </c>
      <c r="D104" s="80">
        <v>55000</v>
      </c>
      <c r="E104" s="80">
        <v>59000</v>
      </c>
      <c r="F104" t="s">
        <v>130</v>
      </c>
      <c r="G104"/>
      <c r="H104"/>
      <c r="I104"/>
      <c r="J104"/>
      <c r="K104"/>
      <c r="L104"/>
      <c r="M104"/>
      <c r="N104"/>
      <c r="O104"/>
      <c r="P104"/>
      <c r="Q104"/>
      <c r="R104"/>
      <c r="S104"/>
      <c r="T104"/>
      <c r="U104"/>
      <c r="V104"/>
      <c r="W104"/>
      <c r="X104"/>
      <c r="Y104"/>
      <c r="Z104"/>
      <c r="AA104"/>
      <c r="AB104"/>
      <c r="AC104"/>
      <c r="AD104"/>
      <c r="AE104"/>
      <c r="AF104"/>
      <c r="AG104"/>
    </row>
    <row r="105" spans="1:33" x14ac:dyDescent="0.2">
      <c r="A105" t="s">
        <v>129</v>
      </c>
      <c r="B105" s="80">
        <f>N43</f>
        <v>108625</v>
      </c>
      <c r="C105" s="80">
        <v>108625</v>
      </c>
      <c r="D105" s="80">
        <v>110000</v>
      </c>
      <c r="E105" s="80">
        <v>115000</v>
      </c>
      <c r="F105" t="s">
        <v>130</v>
      </c>
      <c r="G105"/>
      <c r="H105"/>
      <c r="I105"/>
      <c r="J105"/>
      <c r="K105"/>
      <c r="L105"/>
      <c r="M105"/>
      <c r="N105"/>
      <c r="O105"/>
      <c r="P105"/>
      <c r="Q105"/>
      <c r="R105"/>
      <c r="S105"/>
      <c r="T105"/>
      <c r="U105"/>
      <c r="V105"/>
      <c r="W105"/>
      <c r="X105"/>
      <c r="Y105"/>
      <c r="Z105"/>
      <c r="AA105"/>
      <c r="AB105"/>
      <c r="AC105"/>
      <c r="AD105"/>
      <c r="AE105"/>
      <c r="AF105"/>
      <c r="AG105"/>
    </row>
    <row r="106" spans="1:33" x14ac:dyDescent="0.2">
      <c r="A106" s="79" t="s">
        <v>139</v>
      </c>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x14ac:dyDescent="0.2">
      <c r="A107" t="s">
        <v>144</v>
      </c>
      <c r="B107" s="82">
        <v>0</v>
      </c>
      <c r="C107" s="82">
        <v>750000</v>
      </c>
      <c r="D107" s="82">
        <v>2000000</v>
      </c>
      <c r="E107" s="82">
        <v>3000000</v>
      </c>
      <c r="F107" t="s">
        <v>143</v>
      </c>
      <c r="G107"/>
      <c r="H107"/>
      <c r="I107"/>
      <c r="J107"/>
      <c r="K107"/>
      <c r="L107"/>
      <c r="M107"/>
      <c r="N107"/>
      <c r="O107"/>
      <c r="P107"/>
      <c r="Q107"/>
      <c r="R107"/>
      <c r="S107"/>
      <c r="T107"/>
      <c r="U107"/>
      <c r="V107"/>
      <c r="W107"/>
      <c r="X107"/>
      <c r="Y107"/>
      <c r="Z107"/>
      <c r="AA107"/>
      <c r="AB107"/>
      <c r="AC107"/>
      <c r="AD107"/>
      <c r="AE107"/>
      <c r="AF107"/>
      <c r="AG107"/>
    </row>
    <row r="108" spans="1:33" x14ac:dyDescent="0.2">
      <c r="A108" t="s">
        <v>169</v>
      </c>
      <c r="B108" s="71">
        <f>N61/SUM(N35:N39)</f>
        <v>1342.9752066115702</v>
      </c>
      <c r="C108" s="82">
        <v>1400</v>
      </c>
      <c r="D108" s="82">
        <v>1500</v>
      </c>
      <c r="E108" s="63">
        <f>'Input Data'!F52</f>
        <v>1623.3766233766235</v>
      </c>
      <c r="F108" s="5" t="s">
        <v>170</v>
      </c>
      <c r="G108"/>
      <c r="H108"/>
      <c r="I108"/>
      <c r="J108"/>
      <c r="K108"/>
      <c r="L108"/>
      <c r="N108"/>
      <c r="O108"/>
      <c r="P108"/>
      <c r="Q108"/>
      <c r="R108"/>
      <c r="S108"/>
      <c r="T108"/>
      <c r="U108"/>
      <c r="V108"/>
      <c r="W108"/>
      <c r="X108"/>
      <c r="Y108"/>
      <c r="Z108"/>
      <c r="AA108"/>
      <c r="AB108"/>
      <c r="AC108"/>
      <c r="AD108"/>
      <c r="AE108"/>
      <c r="AF108"/>
      <c r="AG108"/>
    </row>
    <row r="109" spans="1:33" x14ac:dyDescent="0.2">
      <c r="A109" t="s">
        <v>173</v>
      </c>
      <c r="B109" s="76">
        <v>0</v>
      </c>
      <c r="C109" s="76">
        <v>0.15</v>
      </c>
      <c r="D109" s="76">
        <v>0.18</v>
      </c>
      <c r="E109" s="76">
        <v>0.21</v>
      </c>
      <c r="F109" s="84" t="s">
        <v>147</v>
      </c>
      <c r="G109"/>
      <c r="H109"/>
      <c r="I109"/>
      <c r="J109"/>
      <c r="K109"/>
      <c r="L109"/>
      <c r="M109"/>
      <c r="N109"/>
      <c r="O109"/>
      <c r="P109"/>
      <c r="Q109"/>
      <c r="R109"/>
      <c r="S109"/>
      <c r="T109"/>
      <c r="U109"/>
      <c r="V109"/>
      <c r="W109"/>
      <c r="X109"/>
      <c r="Y109"/>
      <c r="Z109"/>
      <c r="AA109"/>
      <c r="AB109"/>
      <c r="AC109"/>
      <c r="AD109"/>
      <c r="AE109"/>
      <c r="AF109"/>
      <c r="AG109"/>
    </row>
    <row r="110" spans="1:33" x14ac:dyDescent="0.2">
      <c r="B110" s="82"/>
      <c r="C110" s="82"/>
      <c r="D110" s="82"/>
      <c r="E110" s="82"/>
      <c r="F110" s="83" t="s">
        <v>146</v>
      </c>
      <c r="G110"/>
      <c r="H110"/>
      <c r="I110"/>
      <c r="J110"/>
      <c r="K110"/>
      <c r="L110"/>
      <c r="M110"/>
      <c r="N110"/>
      <c r="O110"/>
      <c r="P110"/>
      <c r="Q110"/>
      <c r="R110"/>
      <c r="S110"/>
      <c r="T110"/>
      <c r="U110"/>
      <c r="V110"/>
      <c r="W110"/>
      <c r="X110"/>
      <c r="Y110"/>
      <c r="Z110"/>
      <c r="AA110"/>
      <c r="AB110"/>
      <c r="AC110"/>
      <c r="AD110"/>
      <c r="AE110"/>
      <c r="AF110"/>
      <c r="AG110"/>
    </row>
    <row r="111" spans="1:33" x14ac:dyDescent="0.2">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thickBot="1" x14ac:dyDescent="0.25">
      <c r="A112" s="16" t="s">
        <v>52</v>
      </c>
      <c r="B112" s="16"/>
      <c r="C112" s="16"/>
      <c r="D112" s="16"/>
      <c r="E112" s="16"/>
      <c r="G112" s="1"/>
      <c r="H112" s="1"/>
      <c r="I112" s="1"/>
      <c r="J112" s="1"/>
      <c r="K112" s="1"/>
    </row>
    <row r="113" spans="1:33" x14ac:dyDescent="0.2">
      <c r="B113" s="85">
        <v>2024</v>
      </c>
      <c r="C113" s="85">
        <v>2025</v>
      </c>
      <c r="D113" s="85">
        <v>2026</v>
      </c>
      <c r="E113" s="85">
        <v>2027</v>
      </c>
    </row>
    <row r="114" spans="1:33" ht="15" x14ac:dyDescent="0.2">
      <c r="A114" s="1" t="s">
        <v>12</v>
      </c>
      <c r="B114" s="18">
        <f>N15</f>
        <v>100000</v>
      </c>
      <c r="C114" s="18">
        <f>B114*(1+C115)</f>
        <v>106300</v>
      </c>
      <c r="D114" s="18">
        <f t="shared" ref="D114:E114" si="33">C114*(1+D115)</f>
        <v>112469.14076246333</v>
      </c>
      <c r="E114" s="18">
        <f t="shared" si="33"/>
        <v>119562.64689353389</v>
      </c>
      <c r="AB114" s="51"/>
      <c r="AC114" s="51"/>
      <c r="AD114" s="51"/>
      <c r="AE114" s="51"/>
      <c r="AF114" s="51"/>
      <c r="AG114" s="51"/>
    </row>
    <row r="115" spans="1:33" x14ac:dyDescent="0.2">
      <c r="A115" s="48" t="s">
        <v>13</v>
      </c>
      <c r="B115" s="32"/>
      <c r="C115" s="41">
        <f>(C91+O16)</f>
        <v>6.2999999999999917E-2</v>
      </c>
      <c r="D115" s="41">
        <f>(D91+P16)</f>
        <v>5.8035190615835702E-2</v>
      </c>
      <c r="E115" s="41">
        <f>(E91+Q16)</f>
        <v>6.3070688394891911E-2</v>
      </c>
      <c r="AB115"/>
      <c r="AC115"/>
      <c r="AD115"/>
      <c r="AE115"/>
      <c r="AF115"/>
      <c r="AG115"/>
    </row>
    <row r="116" spans="1:33" x14ac:dyDescent="0.2">
      <c r="A116" s="1"/>
      <c r="B116" s="43"/>
      <c r="C116" s="43"/>
      <c r="D116" s="43"/>
      <c r="E116" s="43"/>
    </row>
    <row r="117" spans="1:33" s="51" customFormat="1" ht="16" thickBot="1" x14ac:dyDescent="0.25">
      <c r="A117" s="16" t="s">
        <v>95</v>
      </c>
      <c r="B117" s="16"/>
      <c r="C117" s="16"/>
      <c r="D117" s="16"/>
      <c r="E117" s="16"/>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row>
    <row r="118" spans="1:33" customFormat="1" x14ac:dyDescent="0.2">
      <c r="A118" s="5"/>
      <c r="B118" s="30">
        <v>2024</v>
      </c>
      <c r="C118" s="30">
        <v>2025</v>
      </c>
      <c r="D118" s="30">
        <v>2026</v>
      </c>
      <c r="E118" s="30">
        <v>2027</v>
      </c>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row>
    <row r="119" spans="1:33" x14ac:dyDescent="0.2">
      <c r="A119" s="1" t="s">
        <v>55</v>
      </c>
      <c r="B119" s="30"/>
      <c r="C119" s="30"/>
      <c r="D119" s="30"/>
      <c r="E119" s="30"/>
      <c r="G119" s="71"/>
    </row>
    <row r="120" spans="1:33" x14ac:dyDescent="0.2">
      <c r="A120" s="5" t="s">
        <v>24</v>
      </c>
      <c r="B120" s="18">
        <f>N21</f>
        <v>145000</v>
      </c>
      <c r="C120" s="18">
        <f>B120*(1+C125)</f>
        <v>154135</v>
      </c>
      <c r="D120" s="18">
        <f t="shared" ref="D120:E120" si="34">C120*(1+D125)</f>
        <v>163080.25410557183</v>
      </c>
      <c r="E120" s="18">
        <f t="shared" si="34"/>
        <v>173365.83799562414</v>
      </c>
      <c r="G120" s="70"/>
    </row>
    <row r="121" spans="1:33" x14ac:dyDescent="0.2">
      <c r="A121" s="70"/>
      <c r="B121" s="18">
        <f t="shared" ref="B121:B124" si="35">N22</f>
        <v>11000</v>
      </c>
      <c r="C121" s="18">
        <f>B121*(1+C125)</f>
        <v>11693</v>
      </c>
      <c r="D121" s="18">
        <f t="shared" ref="D121:E121" si="36">C121*(1+D125)</f>
        <v>12371.605483870966</v>
      </c>
      <c r="E121" s="18">
        <f t="shared" si="36"/>
        <v>13151.891158288729</v>
      </c>
    </row>
    <row r="122" spans="1:33" x14ac:dyDescent="0.2">
      <c r="A122" s="5" t="s">
        <v>17</v>
      </c>
      <c r="B122" s="18">
        <f t="shared" si="35"/>
        <v>28133</v>
      </c>
      <c r="C122" s="18">
        <f>B122*(1+C125)</f>
        <v>29905.378999999997</v>
      </c>
      <c r="D122" s="18">
        <f t="shared" ref="D122:E122" si="37">C122*(1+D125)</f>
        <v>31640.943370703804</v>
      </c>
      <c r="E122" s="18">
        <f t="shared" si="37"/>
        <v>33636.559450557885</v>
      </c>
    </row>
    <row r="123" spans="1:33" x14ac:dyDescent="0.2">
      <c r="A123" s="5" t="s">
        <v>26</v>
      </c>
      <c r="B123" s="18">
        <f t="shared" si="35"/>
        <v>14300</v>
      </c>
      <c r="C123" s="18">
        <f>B123*(1+C125)</f>
        <v>15200.9</v>
      </c>
      <c r="D123" s="18">
        <f t="shared" ref="D123:E123" si="38">C123*(1+D125)</f>
        <v>16083.087129032256</v>
      </c>
      <c r="E123" s="18">
        <f t="shared" si="38"/>
        <v>17097.458505775347</v>
      </c>
    </row>
    <row r="124" spans="1:33" x14ac:dyDescent="0.2">
      <c r="A124" s="5" t="s">
        <v>30</v>
      </c>
      <c r="B124" s="18">
        <f t="shared" si="35"/>
        <v>850</v>
      </c>
      <c r="C124" s="18">
        <f>B124*(1+C125)</f>
        <v>903.55</v>
      </c>
      <c r="D124" s="18">
        <f t="shared" ref="D124:E124" si="39">C124*(1+D125)</f>
        <v>955.98769648093821</v>
      </c>
      <c r="E124" s="18">
        <f t="shared" si="39"/>
        <v>1016.282498595038</v>
      </c>
    </row>
    <row r="125" spans="1:33" x14ac:dyDescent="0.2">
      <c r="A125" s="48" t="s">
        <v>58</v>
      </c>
      <c r="C125" s="41">
        <f>C115</f>
        <v>6.2999999999999917E-2</v>
      </c>
      <c r="D125" s="41">
        <f>D115</f>
        <v>5.8035190615835702E-2</v>
      </c>
      <c r="E125" s="41">
        <f>E115</f>
        <v>6.3070688394891911E-2</v>
      </c>
      <c r="F125" s="5" t="s">
        <v>152</v>
      </c>
    </row>
    <row r="126" spans="1:33" x14ac:dyDescent="0.2">
      <c r="C126" s="86"/>
      <c r="D126" s="86"/>
      <c r="E126" s="86"/>
    </row>
    <row r="127" spans="1:33" x14ac:dyDescent="0.2">
      <c r="A127" s="5" t="s">
        <v>29</v>
      </c>
      <c r="B127" s="18">
        <f>N28</f>
        <v>6000</v>
      </c>
      <c r="C127" s="18">
        <f>B127*(1+$C130)</f>
        <v>6678</v>
      </c>
      <c r="D127" s="18">
        <f>C127*(1+$D130)</f>
        <v>7566.4090029325498</v>
      </c>
      <c r="E127" s="18">
        <f>D127*(1+$E130)</f>
        <v>8800.2685277180699</v>
      </c>
    </row>
    <row r="128" spans="1:33" x14ac:dyDescent="0.2">
      <c r="A128" s="5" t="s">
        <v>31</v>
      </c>
      <c r="B128" s="18">
        <f t="shared" ref="B128:B129" si="40">N29</f>
        <v>5000</v>
      </c>
      <c r="C128" s="18">
        <f>B128*(1+$C130)</f>
        <v>5565</v>
      </c>
      <c r="D128" s="18">
        <f>$C128*(1+D$130)</f>
        <v>6305.340835777125</v>
      </c>
      <c r="E128" s="18">
        <f>D128*(1+E$130)</f>
        <v>7333.5571064317246</v>
      </c>
    </row>
    <row r="129" spans="1:12" x14ac:dyDescent="0.2">
      <c r="A129" s="5" t="s">
        <v>32</v>
      </c>
      <c r="B129" s="18">
        <f t="shared" si="40"/>
        <v>1500</v>
      </c>
      <c r="C129" s="18">
        <f>B129*(1+$C130)</f>
        <v>1669.5</v>
      </c>
      <c r="D129" s="18">
        <f>$C129*(1+D$130)</f>
        <v>1891.6022507331375</v>
      </c>
      <c r="E129" s="18">
        <f>D129*(1+$E130)</f>
        <v>2200.0671319295175</v>
      </c>
    </row>
    <row r="130" spans="1:12" x14ac:dyDescent="0.2">
      <c r="A130" s="48" t="s">
        <v>59</v>
      </c>
      <c r="B130" s="20"/>
      <c r="C130" s="41">
        <f>C125+C92</f>
        <v>0.11299999999999992</v>
      </c>
      <c r="D130" s="41">
        <f t="shared" ref="D130:E130" si="41">D125+D92</f>
        <v>0.13303519061583569</v>
      </c>
      <c r="E130" s="41">
        <f t="shared" si="41"/>
        <v>0.16307068839489192</v>
      </c>
    </row>
    <row r="131" spans="1:12" x14ac:dyDescent="0.2">
      <c r="A131" s="1"/>
      <c r="B131" s="40"/>
      <c r="C131" s="1"/>
      <c r="D131" s="1"/>
      <c r="E131" s="1"/>
    </row>
    <row r="132" spans="1:12" ht="15" thickBot="1" x14ac:dyDescent="0.25">
      <c r="A132" s="16" t="s">
        <v>167</v>
      </c>
      <c r="B132" s="16"/>
      <c r="C132" s="16"/>
      <c r="D132" s="16"/>
      <c r="E132" s="16"/>
    </row>
    <row r="133" spans="1:12" x14ac:dyDescent="0.2">
      <c r="B133" s="30">
        <v>2024</v>
      </c>
      <c r="C133" s="30">
        <v>2025</v>
      </c>
      <c r="D133" s="30">
        <v>2026</v>
      </c>
      <c r="E133" s="30">
        <v>2027</v>
      </c>
    </row>
    <row r="134" spans="1:12" x14ac:dyDescent="0.2">
      <c r="A134" s="5" t="s">
        <v>68</v>
      </c>
      <c r="B134" s="18">
        <f>N35</f>
        <v>40</v>
      </c>
      <c r="C134" s="18">
        <f>B134+C99</f>
        <v>36</v>
      </c>
      <c r="D134" s="18">
        <f>C134+D99</f>
        <v>24</v>
      </c>
      <c r="E134" s="18">
        <f>D134+E99</f>
        <v>24</v>
      </c>
    </row>
    <row r="135" spans="1:12" x14ac:dyDescent="0.2">
      <c r="A135" s="5" t="s">
        <v>69</v>
      </c>
      <c r="B135" s="18">
        <f t="shared" ref="B135:B138" si="42">N36</f>
        <v>20</v>
      </c>
      <c r="C135" s="18">
        <v>20</v>
      </c>
      <c r="D135" s="18">
        <v>20</v>
      </c>
      <c r="E135" s="18">
        <v>20</v>
      </c>
      <c r="F135" s="5" t="s">
        <v>156</v>
      </c>
      <c r="L135" s="45"/>
    </row>
    <row r="136" spans="1:12" x14ac:dyDescent="0.2">
      <c r="A136" s="5" t="s">
        <v>70</v>
      </c>
      <c r="B136" s="18">
        <f t="shared" si="42"/>
        <v>155</v>
      </c>
      <c r="C136" s="18">
        <f t="shared" ref="C136:E137" si="43">B136+C100</f>
        <v>155</v>
      </c>
      <c r="D136" s="18">
        <f t="shared" si="43"/>
        <v>150</v>
      </c>
      <c r="E136" s="18">
        <f t="shared" si="43"/>
        <v>140</v>
      </c>
      <c r="G136" s="20"/>
      <c r="H136" s="20"/>
      <c r="I136" s="20"/>
      <c r="J136" s="20"/>
      <c r="K136" s="20"/>
      <c r="L136" s="20"/>
    </row>
    <row r="137" spans="1:12" x14ac:dyDescent="0.2">
      <c r="A137" s="5" t="s">
        <v>72</v>
      </c>
      <c r="B137" s="18">
        <f t="shared" si="42"/>
        <v>20</v>
      </c>
      <c r="C137" s="18">
        <f t="shared" si="43"/>
        <v>30</v>
      </c>
      <c r="D137" s="18">
        <f t="shared" si="43"/>
        <v>40</v>
      </c>
      <c r="E137" s="18">
        <f t="shared" si="43"/>
        <v>52</v>
      </c>
      <c r="H137" s="44"/>
      <c r="I137" s="44"/>
      <c r="J137" s="44"/>
      <c r="K137" s="44"/>
      <c r="L137" s="20"/>
    </row>
    <row r="138" spans="1:12" x14ac:dyDescent="0.2">
      <c r="A138" s="5" t="s">
        <v>85</v>
      </c>
      <c r="B138" s="18">
        <f t="shared" si="42"/>
        <v>7</v>
      </c>
      <c r="C138" s="18">
        <v>7</v>
      </c>
      <c r="D138" s="18">
        <v>7</v>
      </c>
      <c r="E138" s="18">
        <v>7</v>
      </c>
      <c r="F138" s="5" t="s">
        <v>155</v>
      </c>
      <c r="I138" s="31"/>
      <c r="J138" s="31"/>
      <c r="K138" s="31"/>
    </row>
    <row r="139" spans="1:12" x14ac:dyDescent="0.2">
      <c r="A139" s="48"/>
      <c r="C139" s="1"/>
      <c r="D139" s="1"/>
      <c r="E139" s="1"/>
    </row>
    <row r="140" spans="1:12" x14ac:dyDescent="0.2">
      <c r="A140" s="5" t="s">
        <v>90</v>
      </c>
      <c r="B140" s="71">
        <f>B103</f>
        <v>53750</v>
      </c>
      <c r="C140" s="71">
        <f t="shared" ref="C140:E140" si="44">C103</f>
        <v>53750</v>
      </c>
      <c r="D140" s="71">
        <f t="shared" si="44"/>
        <v>56000</v>
      </c>
      <c r="E140" s="71">
        <f t="shared" si="44"/>
        <v>60000</v>
      </c>
    </row>
    <row r="141" spans="1:12" x14ac:dyDescent="0.2">
      <c r="A141" s="5" t="s">
        <v>94</v>
      </c>
      <c r="B141" s="71">
        <f>N42</f>
        <v>135000</v>
      </c>
      <c r="C141" s="71">
        <v>135000</v>
      </c>
      <c r="D141" s="71">
        <v>135000</v>
      </c>
      <c r="E141" s="71">
        <v>135000</v>
      </c>
      <c r="F141" s="5" t="s">
        <v>158</v>
      </c>
    </row>
    <row r="142" spans="1:12" x14ac:dyDescent="0.2">
      <c r="A142" s="5" t="s">
        <v>91</v>
      </c>
      <c r="B142" s="71">
        <f>B105</f>
        <v>108625</v>
      </c>
      <c r="C142" s="71">
        <f>C105</f>
        <v>108625</v>
      </c>
      <c r="D142" s="71">
        <f>D105</f>
        <v>110000</v>
      </c>
      <c r="E142" s="71">
        <f>E105</f>
        <v>115000</v>
      </c>
    </row>
    <row r="143" spans="1:12" x14ac:dyDescent="0.2">
      <c r="A143" s="5" t="s">
        <v>92</v>
      </c>
      <c r="B143" s="71">
        <f>B104</f>
        <v>52979.354838709674</v>
      </c>
      <c r="C143" s="71">
        <f t="shared" ref="C143:E143" si="45">C104</f>
        <v>52979.354838709674</v>
      </c>
      <c r="D143" s="71">
        <f t="shared" si="45"/>
        <v>55000</v>
      </c>
      <c r="E143" s="71">
        <f t="shared" si="45"/>
        <v>59000</v>
      </c>
      <c r="G143" s="15"/>
    </row>
    <row r="144" spans="1:12" x14ac:dyDescent="0.2">
      <c r="A144" s="5" t="s">
        <v>93</v>
      </c>
      <c r="B144" s="71">
        <f>N45</f>
        <v>37242.857142857145</v>
      </c>
      <c r="C144" s="71">
        <v>37242.857142857145</v>
      </c>
      <c r="D144" s="71">
        <v>37242.857142857145</v>
      </c>
      <c r="E144" s="71">
        <v>37242.857142857145</v>
      </c>
      <c r="F144" s="5" t="s">
        <v>159</v>
      </c>
    </row>
    <row r="145" spans="1:6" x14ac:dyDescent="0.2">
      <c r="A145" s="1"/>
      <c r="B145" s="1"/>
      <c r="C145" s="54"/>
      <c r="D145" s="54"/>
      <c r="E145" s="54"/>
    </row>
    <row r="146" spans="1:6" x14ac:dyDescent="0.2">
      <c r="A146" s="1"/>
      <c r="B146" s="1"/>
      <c r="C146" s="54"/>
      <c r="D146" s="54"/>
      <c r="E146" s="54"/>
    </row>
    <row r="147" spans="1:6" x14ac:dyDescent="0.2">
      <c r="A147" s="1"/>
      <c r="B147" s="1"/>
      <c r="C147" s="54"/>
      <c r="D147" s="54"/>
      <c r="E147" s="54"/>
    </row>
    <row r="148" spans="1:6" ht="15" thickBot="1" x14ac:dyDescent="0.25">
      <c r="A148" s="16" t="s">
        <v>166</v>
      </c>
      <c r="B148" s="16"/>
      <c r="C148" s="16"/>
      <c r="D148" s="16"/>
      <c r="E148" s="16"/>
    </row>
    <row r="149" spans="1:6" x14ac:dyDescent="0.2">
      <c r="A149" s="1"/>
      <c r="B149" s="30">
        <v>2024</v>
      </c>
      <c r="C149" s="30">
        <v>2025</v>
      </c>
      <c r="D149" s="30">
        <v>2026</v>
      </c>
      <c r="E149" s="30">
        <v>2027</v>
      </c>
    </row>
    <row r="150" spans="1:6" x14ac:dyDescent="0.2">
      <c r="A150" s="1" t="s">
        <v>0</v>
      </c>
      <c r="B150" s="18"/>
      <c r="C150" s="18"/>
      <c r="D150" s="18"/>
      <c r="E150" s="18"/>
      <c r="F150" s="5" t="s">
        <v>163</v>
      </c>
    </row>
    <row r="151" spans="1:6" x14ac:dyDescent="0.2">
      <c r="A151" s="5" t="s">
        <v>24</v>
      </c>
      <c r="B151" s="67">
        <f>B120*'Input Data'!$J$48</f>
        <v>13300000</v>
      </c>
      <c r="C151" s="67">
        <f>C120*'Input Data'!$J$48</f>
        <v>14137900</v>
      </c>
      <c r="D151" s="67">
        <f>D120*'Input Data'!$J$48</f>
        <v>14958395.721407622</v>
      </c>
      <c r="E151" s="67">
        <f>E120*'Input Data'!$J$48</f>
        <v>15901832.036840007</v>
      </c>
    </row>
    <row r="152" spans="1:6" x14ac:dyDescent="0.2">
      <c r="A152" s="5" t="s">
        <v>16</v>
      </c>
      <c r="B152" s="67">
        <f>B121*'Input Data'!$J$49</f>
        <v>5699999.9999999991</v>
      </c>
      <c r="C152" s="67">
        <f>C121*'Input Data'!$J$49</f>
        <v>6059099.9999999991</v>
      </c>
      <c r="D152" s="67">
        <f>D121*'Input Data'!$J$49</f>
        <v>6410741.0234604087</v>
      </c>
      <c r="E152" s="67">
        <f>E121*'Input Data'!$J$49</f>
        <v>6815070.872931431</v>
      </c>
    </row>
    <row r="153" spans="1:6" x14ac:dyDescent="0.2">
      <c r="A153" s="5" t="s">
        <v>17</v>
      </c>
      <c r="B153" s="67">
        <f>B122*'Input Data'!$J$50</f>
        <v>4151950.0000000005</v>
      </c>
      <c r="C153" s="67">
        <f>C122*'Input Data'!$J$50</f>
        <v>4413522.8499999996</v>
      </c>
      <c r="D153" s="67">
        <f>D122*'Input Data'!$J$50</f>
        <v>4669662.489887096</v>
      </c>
      <c r="E153" s="67">
        <f>E122*'Input Data'!$J$50</f>
        <v>4964181.3176960796</v>
      </c>
    </row>
    <row r="154" spans="1:6" x14ac:dyDescent="0.2">
      <c r="A154" s="5" t="s">
        <v>26</v>
      </c>
      <c r="B154" s="67">
        <f>B123*'Input Data'!$J$51</f>
        <v>21020000</v>
      </c>
      <c r="C154" s="67">
        <f>C123*'Input Data'!$J$51</f>
        <v>22344260</v>
      </c>
      <c r="D154" s="67">
        <f>D123*'Input Data'!$J$51</f>
        <v>23641013.388269793</v>
      </c>
      <c r="E154" s="67">
        <f>E123*'Input Data'!$J$51</f>
        <v>25132068.377020825</v>
      </c>
    </row>
    <row r="155" spans="1:6" x14ac:dyDescent="0.2">
      <c r="A155" s="5" t="s">
        <v>30</v>
      </c>
      <c r="B155" s="67">
        <f>B124*'Input Data'!$G$21</f>
        <v>127500</v>
      </c>
      <c r="C155" s="67">
        <f>C124*'Input Data'!$G$21</f>
        <v>135532.5</v>
      </c>
      <c r="D155" s="67">
        <f>D124*'Input Data'!$G$21</f>
        <v>143398.15447214074</v>
      </c>
      <c r="E155" s="67">
        <f>E124*'Input Data'!$G$21</f>
        <v>152442.3747892557</v>
      </c>
    </row>
    <row r="156" spans="1:6" x14ac:dyDescent="0.2">
      <c r="A156" s="5" t="s">
        <v>29</v>
      </c>
      <c r="B156" s="67">
        <f>B127*'Input Data'!G$20</f>
        <v>660000</v>
      </c>
      <c r="C156" s="67">
        <f>C127*'Input Data'!$G$20</f>
        <v>734580</v>
      </c>
      <c r="D156" s="67">
        <f>D127*'Input Data'!$G$20</f>
        <v>832304.99032258044</v>
      </c>
      <c r="E156" s="67">
        <f>E127*'Input Data'!$G$20</f>
        <v>968029.53804898774</v>
      </c>
    </row>
    <row r="157" spans="1:6" x14ac:dyDescent="0.2">
      <c r="A157" s="5" t="s">
        <v>31</v>
      </c>
      <c r="B157" s="67">
        <f>B128*'Input Data'!$G$22</f>
        <v>150000</v>
      </c>
      <c r="C157" s="67">
        <f>C128*'Input Data'!$G$22</f>
        <v>166950</v>
      </c>
      <c r="D157" s="67">
        <f>D128*'Input Data'!$G$22</f>
        <v>189160.22507331375</v>
      </c>
      <c r="E157" s="67">
        <f>E128*'Input Data'!$G$22</f>
        <v>220006.71319295175</v>
      </c>
    </row>
    <row r="158" spans="1:6" x14ac:dyDescent="0.2">
      <c r="A158" s="5" t="s">
        <v>32</v>
      </c>
      <c r="B158" s="67">
        <f>B129*'Input Data'!$G$23</f>
        <v>825000</v>
      </c>
      <c r="C158" s="67">
        <f>C129*'Input Data'!$G$23</f>
        <v>918225</v>
      </c>
      <c r="D158" s="67">
        <f>D129*'Input Data'!$G$23</f>
        <v>1040381.2379032256</v>
      </c>
      <c r="E158" s="67">
        <f>E129*'Input Data'!$G$23</f>
        <v>1210036.9225612346</v>
      </c>
    </row>
    <row r="159" spans="1:6" x14ac:dyDescent="0.2">
      <c r="A159" s="5" t="s">
        <v>153</v>
      </c>
      <c r="B159" s="67">
        <f>B93*B94</f>
        <v>0</v>
      </c>
      <c r="C159" s="67">
        <f>C93*C94</f>
        <v>0</v>
      </c>
      <c r="D159" s="67">
        <f>D93*D94</f>
        <v>900000</v>
      </c>
      <c r="E159" s="67">
        <f>E93*E94</f>
        <v>3600000</v>
      </c>
    </row>
    <row r="160" spans="1:6" x14ac:dyDescent="0.2">
      <c r="A160" s="58" t="s">
        <v>19</v>
      </c>
      <c r="B160" s="68">
        <f>SUM(B150:B159)</f>
        <v>45934450</v>
      </c>
      <c r="C160" s="68">
        <f t="shared" ref="C160:E160" si="46">SUM(C150:C159)</f>
        <v>48910070.350000001</v>
      </c>
      <c r="D160" s="68">
        <f t="shared" si="46"/>
        <v>52785057.230796188</v>
      </c>
      <c r="E160" s="68">
        <f t="shared" si="46"/>
        <v>58963668.153080776</v>
      </c>
    </row>
    <row r="161" spans="1:6" x14ac:dyDescent="0.2">
      <c r="A161" s="1" t="s">
        <v>8</v>
      </c>
      <c r="B161" s="67"/>
      <c r="C161" s="67"/>
      <c r="D161" s="67"/>
      <c r="E161" s="67"/>
    </row>
    <row r="162" spans="1:6" x14ac:dyDescent="0.2">
      <c r="A162" s="5" t="s">
        <v>35</v>
      </c>
      <c r="B162" s="67">
        <f>B135*B141+B136*B143+B137*B142+B138*B144</f>
        <v>13345000</v>
      </c>
      <c r="C162" s="67">
        <f>C135*C141+C136*C143+C137*C142+C138*C144</f>
        <v>14431250</v>
      </c>
      <c r="D162" s="67">
        <f>D135*D141+D136*D143+D137*D142+D138*D144</f>
        <v>15610700</v>
      </c>
      <c r="E162" s="67">
        <f>E135*E141+E136*E143+E137*E142+E138*E144</f>
        <v>17200700</v>
      </c>
    </row>
    <row r="163" spans="1:6" x14ac:dyDescent="0.2">
      <c r="A163" s="5" t="s">
        <v>36</v>
      </c>
      <c r="B163" s="67">
        <f>B108*SUM(B134:B138)</f>
        <v>325000</v>
      </c>
      <c r="C163" s="67">
        <f>C108*SUM(C134:C138)</f>
        <v>347200</v>
      </c>
      <c r="D163" s="67">
        <f t="shared" ref="D163:E163" si="47">D108*SUM(D134:D138)</f>
        <v>361500</v>
      </c>
      <c r="E163" s="67">
        <f t="shared" si="47"/>
        <v>394480.51948051952</v>
      </c>
    </row>
    <row r="164" spans="1:6" x14ac:dyDescent="0.2">
      <c r="A164" s="5" t="s">
        <v>64</v>
      </c>
      <c r="B164" s="67">
        <f>B134*B140</f>
        <v>2150000</v>
      </c>
      <c r="C164" s="67">
        <f>C134*C140</f>
        <v>1935000</v>
      </c>
      <c r="D164" s="67">
        <f t="shared" ref="D164:E164" si="48">D134*D140</f>
        <v>1344000</v>
      </c>
      <c r="E164" s="67">
        <f t="shared" si="48"/>
        <v>1440000</v>
      </c>
    </row>
    <row r="165" spans="1:6" x14ac:dyDescent="0.2">
      <c r="A165" s="5" t="s">
        <v>45</v>
      </c>
      <c r="B165" s="67"/>
      <c r="C165" s="67"/>
      <c r="D165" s="67"/>
      <c r="E165" s="67"/>
    </row>
    <row r="166" spans="1:6" x14ac:dyDescent="0.2">
      <c r="A166" s="48" t="s">
        <v>42</v>
      </c>
      <c r="B166" s="67">
        <f>B62</f>
        <v>10400000</v>
      </c>
      <c r="C166" s="67">
        <f>B166-(C101*('Input Data'!$F$49+'Input Data'!$F$51)*'Input Data'!$B$50)</f>
        <v>8740407.8766795397</v>
      </c>
      <c r="D166" s="67">
        <f>C166-(D101*('Input Data'!$F$49+'Input Data'!$F$51)*'Input Data'!$B$50)</f>
        <v>7080815.7533590784</v>
      </c>
      <c r="E166" s="67">
        <f>D166-(E101*('Input Data'!$F$49+'Input Data'!$F$51)*'Input Data'!$B$50)</f>
        <v>5089305.2053745259</v>
      </c>
    </row>
    <row r="167" spans="1:6" x14ac:dyDescent="0.2">
      <c r="A167" s="48" t="s">
        <v>43</v>
      </c>
      <c r="B167" s="67">
        <f>B63*(1+B95)</f>
        <v>325000</v>
      </c>
      <c r="C167" s="67">
        <f>C63*(1+C95)</f>
        <v>227500</v>
      </c>
      <c r="D167" s="67">
        <f>D63*(1+D95)</f>
        <v>97500.000000000015</v>
      </c>
      <c r="E167" s="67">
        <f>E63*(1+E95)</f>
        <v>0</v>
      </c>
    </row>
    <row r="168" spans="1:6" x14ac:dyDescent="0.2">
      <c r="A168" s="48" t="s">
        <v>44</v>
      </c>
      <c r="B168" s="67">
        <f>B64+H65</f>
        <v>4140175</v>
      </c>
      <c r="C168" s="67">
        <f t="shared" ref="C168:E168" si="49">C64+I65</f>
        <v>4140175</v>
      </c>
      <c r="D168" s="67">
        <f t="shared" si="49"/>
        <v>4140175</v>
      </c>
      <c r="E168" s="67">
        <f t="shared" si="49"/>
        <v>4140175</v>
      </c>
    </row>
    <row r="169" spans="1:6" x14ac:dyDescent="0.2">
      <c r="A169" s="5" t="s">
        <v>38</v>
      </c>
      <c r="B169" s="67">
        <f>B96*SUM(B120:B124,B127:B129)</f>
        <v>7860000</v>
      </c>
      <c r="C169" s="67">
        <f>C96*SUM(C120:C124,C127:C129)</f>
        <v>7449760.8569999989</v>
      </c>
      <c r="D169" s="67">
        <f>D96*SUM(D120:D124,D127:D129)</f>
        <v>6956961.6663779756</v>
      </c>
      <c r="E169" s="67">
        <f t="shared" ref="E169" si="50">E96*SUM(E120:E124,E127:E129)</f>
        <v>6415048.0593730109</v>
      </c>
    </row>
    <row r="170" spans="1:6" x14ac:dyDescent="0.2">
      <c r="A170" s="5" t="s">
        <v>39</v>
      </c>
      <c r="B170" s="67">
        <f>N65</f>
        <v>1100000</v>
      </c>
      <c r="C170" s="67">
        <f t="shared" ref="C170:E170" si="51">O65</f>
        <v>1100000</v>
      </c>
      <c r="D170" s="67">
        <f t="shared" si="51"/>
        <v>1100000</v>
      </c>
      <c r="E170" s="67">
        <f t="shared" si="51"/>
        <v>1100000</v>
      </c>
      <c r="F170" s="5" t="s">
        <v>180</v>
      </c>
    </row>
    <row r="171" spans="1:6" x14ac:dyDescent="0.2">
      <c r="A171" s="5" t="s">
        <v>40</v>
      </c>
      <c r="B171" s="67">
        <f>B97+H68+B107</f>
        <v>2300000</v>
      </c>
      <c r="C171" s="67">
        <f t="shared" ref="C171" si="52">C97+I68+C107</f>
        <v>3000000</v>
      </c>
      <c r="D171" s="67">
        <f>D97+J68+D107</f>
        <v>4000000</v>
      </c>
      <c r="E171" s="67">
        <f>E97+K68+E107</f>
        <v>4560000</v>
      </c>
    </row>
    <row r="172" spans="1:6" x14ac:dyDescent="0.2">
      <c r="A172" s="5" t="s">
        <v>145</v>
      </c>
      <c r="B172" s="67">
        <f>B109*'Input Data'!$B$49</f>
        <v>0</v>
      </c>
      <c r="C172" s="67">
        <f>C109*'Input Data'!$B$49</f>
        <v>450000</v>
      </c>
      <c r="D172" s="67">
        <f>D109*'Input Data'!$B$49</f>
        <v>540000</v>
      </c>
      <c r="E172" s="67">
        <f>E109*'Input Data'!$B$49</f>
        <v>630000</v>
      </c>
    </row>
    <row r="173" spans="1:6" x14ac:dyDescent="0.2">
      <c r="A173" s="58" t="s">
        <v>19</v>
      </c>
      <c r="B173" s="56">
        <f>SUM(B162:B172)</f>
        <v>41945175</v>
      </c>
      <c r="C173" s="56">
        <f t="shared" ref="C173:E173" si="53">SUM(C162:C172)</f>
        <v>41821293.73367954</v>
      </c>
      <c r="D173" s="56">
        <f t="shared" si="53"/>
        <v>41231652.419737056</v>
      </c>
      <c r="E173" s="56">
        <f t="shared" si="53"/>
        <v>40969708.784228057</v>
      </c>
    </row>
    <row r="174" spans="1:6" x14ac:dyDescent="0.2">
      <c r="A174" s="35"/>
      <c r="B174" s="57"/>
      <c r="C174" s="57"/>
      <c r="D174" s="57"/>
      <c r="E174" s="57"/>
    </row>
    <row r="175" spans="1:6" x14ac:dyDescent="0.2">
      <c r="A175" s="1" t="s">
        <v>1</v>
      </c>
      <c r="B175" s="46">
        <f>B160-B173</f>
        <v>3989275</v>
      </c>
      <c r="C175" s="46">
        <f>C160-C173</f>
        <v>7088776.616320461</v>
      </c>
      <c r="D175" s="46">
        <f>D160-D173</f>
        <v>11553404.811059132</v>
      </c>
      <c r="E175" s="46">
        <f>E160-E173</f>
        <v>17993959.36885272</v>
      </c>
    </row>
    <row r="176" spans="1:6" x14ac:dyDescent="0.2">
      <c r="A176" s="34" t="s">
        <v>2</v>
      </c>
      <c r="B176" s="36">
        <f>B175/B160</f>
        <v>8.6847126720794518E-2</v>
      </c>
      <c r="C176" s="36">
        <f>C175/C160</f>
        <v>0.14493490942853368</v>
      </c>
      <c r="D176" s="36">
        <f>D175/D160</f>
        <v>0.21887642861772957</v>
      </c>
      <c r="E176" s="36">
        <f>E175/E160</f>
        <v>0.30517028421869913</v>
      </c>
    </row>
    <row r="177" spans="1:6" x14ac:dyDescent="0.2">
      <c r="A177" s="35"/>
      <c r="B177" s="54"/>
      <c r="C177" s="54"/>
      <c r="D177" s="54"/>
      <c r="E177" s="54"/>
    </row>
    <row r="178" spans="1:6" x14ac:dyDescent="0.2">
      <c r="A178" s="30" t="s">
        <v>5</v>
      </c>
      <c r="B178" s="30">
        <v>2024</v>
      </c>
      <c r="C178" s="30">
        <v>2025</v>
      </c>
      <c r="D178" s="30">
        <v>2026</v>
      </c>
      <c r="E178" s="30">
        <v>2027</v>
      </c>
    </row>
    <row r="179" spans="1:6" x14ac:dyDescent="0.2">
      <c r="A179" s="5" t="s">
        <v>98</v>
      </c>
      <c r="B179" s="39">
        <f>B162/(B160)</f>
        <v>0.29052269048611662</v>
      </c>
      <c r="C179" s="39">
        <f t="shared" ref="C179:E179" si="54">C162/(C160)</f>
        <v>0.29505682360974156</v>
      </c>
      <c r="D179" s="39">
        <f t="shared" si="54"/>
        <v>0.29574089371058421</v>
      </c>
      <c r="E179" s="39">
        <f t="shared" si="54"/>
        <v>0.29171692567266588</v>
      </c>
    </row>
    <row r="180" spans="1:6" x14ac:dyDescent="0.2">
      <c r="A180" t="s">
        <v>100</v>
      </c>
      <c r="B180" s="39">
        <f>B169/B160</f>
        <v>0.17111340181497764</v>
      </c>
      <c r="C180" s="39">
        <f t="shared" ref="C180:E180" si="55">C169/C160</f>
        <v>0.15231548030271844</v>
      </c>
      <c r="D180" s="39">
        <f t="shared" si="55"/>
        <v>0.1317979373586641</v>
      </c>
      <c r="E180" s="39">
        <f t="shared" si="55"/>
        <v>0.10879662443520879</v>
      </c>
    </row>
    <row r="181" spans="1:6" x14ac:dyDescent="0.2">
      <c r="A181" s="5" t="s">
        <v>14</v>
      </c>
      <c r="B181" s="39">
        <f>B164/B160</f>
        <v>4.6805828740738159E-2</v>
      </c>
      <c r="C181" s="39">
        <f t="shared" ref="C181:D181" si="56">C164/C160</f>
        <v>3.9562404759452566E-2</v>
      </c>
      <c r="D181" s="39">
        <f t="shared" si="56"/>
        <v>2.5461751308206881E-2</v>
      </c>
      <c r="E181" s="39">
        <f>E164/E160</f>
        <v>2.4421818470680777E-2</v>
      </c>
    </row>
    <row r="182" spans="1:6" x14ac:dyDescent="0.2">
      <c r="A182" t="s">
        <v>99</v>
      </c>
      <c r="B182" s="39">
        <f>B166/B160</f>
        <v>0.22640959018775669</v>
      </c>
      <c r="C182" s="39">
        <f t="shared" ref="C182:E182" si="57">C166/C160</f>
        <v>0.17870364557100948</v>
      </c>
      <c r="D182" s="39">
        <f t="shared" si="57"/>
        <v>0.134144322746475</v>
      </c>
      <c r="E182" s="39">
        <f t="shared" si="57"/>
        <v>8.6312561019130152E-2</v>
      </c>
    </row>
    <row r="183" spans="1:6" x14ac:dyDescent="0.2">
      <c r="A183" t="s">
        <v>101</v>
      </c>
      <c r="B183" s="39">
        <f>(B156+B158+B157)/B160</f>
        <v>3.5594199995863669E-2</v>
      </c>
      <c r="C183" s="39">
        <f>(C156+C158+C157)/C160</f>
        <v>3.7206141536453546E-2</v>
      </c>
      <c r="D183" s="39">
        <f>(D156+D158+D157)/D160</f>
        <v>3.906117680774597E-2</v>
      </c>
      <c r="E183" s="39">
        <f>(E156+E158+E157)/E160</f>
        <v>4.0670352590298907E-2</v>
      </c>
    </row>
    <row r="185" spans="1:6" ht="15" thickBot="1" x14ac:dyDescent="0.25">
      <c r="A185" s="16" t="s">
        <v>9</v>
      </c>
      <c r="B185" s="16"/>
      <c r="C185" s="16"/>
      <c r="D185" s="16"/>
      <c r="E185" s="16"/>
      <c r="F185" s="16"/>
    </row>
    <row r="186" spans="1:6" x14ac:dyDescent="0.2">
      <c r="B186" s="30">
        <v>2024</v>
      </c>
      <c r="C186" s="30">
        <v>2025</v>
      </c>
      <c r="D186" s="30">
        <v>2026</v>
      </c>
      <c r="E186" s="30">
        <v>2027</v>
      </c>
      <c r="F186" s="30" t="s">
        <v>10</v>
      </c>
    </row>
    <row r="187" spans="1:6" x14ac:dyDescent="0.2">
      <c r="A187" s="1" t="s">
        <v>0</v>
      </c>
      <c r="B187" s="52">
        <f>B160-N58</f>
        <v>0</v>
      </c>
      <c r="C187" s="52">
        <f>C160-O58</f>
        <v>1845888.8500000015</v>
      </c>
      <c r="D187" s="52">
        <f t="shared" ref="D187:E187" si="58">D160-P58</f>
        <v>4560427.3632961884</v>
      </c>
      <c r="E187" s="52">
        <f t="shared" si="58"/>
        <v>9546937.647418268</v>
      </c>
      <c r="F187" s="53">
        <f>SUM(C187:E187)</f>
        <v>15953253.860714458</v>
      </c>
    </row>
    <row r="188" spans="1:6" x14ac:dyDescent="0.2">
      <c r="A188" s="1" t="s">
        <v>8</v>
      </c>
      <c r="B188" s="52">
        <f>B173-N67</f>
        <v>0</v>
      </c>
      <c r="C188" s="52">
        <f>C173-O67</f>
        <v>-862566.76632045954</v>
      </c>
      <c r="D188" s="52">
        <f t="shared" ref="D188:E188" si="59">D173-P67</f>
        <v>-2209515.0977629423</v>
      </c>
      <c r="E188" s="52">
        <f t="shared" si="59"/>
        <v>-3247900.2376344502</v>
      </c>
      <c r="F188" s="53">
        <f>SUM(C188:E188)</f>
        <v>-6319982.1017178521</v>
      </c>
    </row>
    <row r="189" spans="1:6" x14ac:dyDescent="0.2">
      <c r="A189" s="1" t="s">
        <v>11</v>
      </c>
      <c r="B189" s="52">
        <f>SUM(B187:B188)</f>
        <v>0</v>
      </c>
      <c r="C189" s="52">
        <f t="shared" ref="C189:E189" si="60">SUM(C187:C188)</f>
        <v>983322.08367954195</v>
      </c>
      <c r="D189" s="52">
        <f t="shared" si="60"/>
        <v>2350912.2655332461</v>
      </c>
      <c r="E189" s="52">
        <f t="shared" si="60"/>
        <v>6299037.4097838178</v>
      </c>
      <c r="F189" s="47">
        <f>F187-F188</f>
        <v>22273235.96243231</v>
      </c>
    </row>
  </sheetData>
  <mergeCells count="15">
    <mergeCell ref="C86:E86"/>
    <mergeCell ref="I86:K86"/>
    <mergeCell ref="C87:E87"/>
    <mergeCell ref="I87:K87"/>
    <mergeCell ref="A12:E12"/>
    <mergeCell ref="G12:K12"/>
    <mergeCell ref="M12:Q12"/>
    <mergeCell ref="C84:E84"/>
    <mergeCell ref="C83:E83"/>
    <mergeCell ref="I83:K83"/>
    <mergeCell ref="I84:K84"/>
    <mergeCell ref="C25:E26"/>
    <mergeCell ref="I26:K27"/>
    <mergeCell ref="I31:K33"/>
    <mergeCell ref="O26:Q27"/>
  </mergeCells>
  <hyperlinks>
    <hyperlink ref="F110" r:id="rId1" location=":~:text=It%20depends%20on%20factors%20like,to%20ensure%20adequate%20resource%20allocation." display="&gt;&gt;&gt; Needed to ensure a smooth transition. Consulting firms like Gartner recommend allocating at least 15% of the overall system implementation budget for change management - Source: link" xr:uid="{1F8922BE-00A1-A44B-9E27-8955C4AB9D67}"/>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70FC2-8D80-DA4A-B93A-B04D025A9C98}">
  <sheetPr codeName="Foglio2"/>
  <dimension ref="A1:AM189"/>
  <sheetViews>
    <sheetView showGridLines="0" zoomScale="38" zoomScaleNormal="75" workbookViewId="0">
      <selection activeCell="C3" sqref="C3:H3"/>
    </sheetView>
  </sheetViews>
  <sheetFormatPr baseColWidth="10" defaultColWidth="9.140625" defaultRowHeight="14" x14ac:dyDescent="0.2"/>
  <cols>
    <col min="1" max="1" width="52" style="5" customWidth="1"/>
    <col min="2" max="2" width="18.28515625" style="5" bestFit="1" customWidth="1"/>
    <col min="3" max="3" width="14.7109375" style="5" customWidth="1"/>
    <col min="4" max="4" width="15.28515625" style="5" customWidth="1"/>
    <col min="5" max="5" width="15" style="5" customWidth="1"/>
    <col min="6" max="6" width="14.5703125" style="5" customWidth="1"/>
    <col min="7" max="7" width="34.28515625" style="5" customWidth="1"/>
    <col min="8" max="8" width="17.42578125" style="5" customWidth="1"/>
    <col min="9" max="9" width="12.42578125" style="5" customWidth="1"/>
    <col min="10" max="11" width="16.42578125" style="5" customWidth="1"/>
    <col min="12" max="12" width="12.85546875" style="5" customWidth="1"/>
    <col min="13" max="13" width="37.5703125" style="5" customWidth="1"/>
    <col min="14" max="14" width="17.5703125" style="5" customWidth="1"/>
    <col min="15" max="15" width="14.5703125" style="5" customWidth="1"/>
    <col min="16" max="16" width="13.140625" style="5" customWidth="1"/>
    <col min="17" max="17" width="16.140625" style="5" customWidth="1"/>
    <col min="18" max="18" width="18.5703125" style="5" customWidth="1"/>
    <col min="19" max="19" width="13.140625" style="5" bestFit="1" customWidth="1"/>
    <col min="20" max="20" width="10.28515625" style="5" bestFit="1" customWidth="1"/>
    <col min="21" max="21" width="9.85546875" style="5" bestFit="1" customWidth="1"/>
    <col min="22" max="36" width="9.140625" style="5"/>
    <col min="37" max="37" width="1.140625" style="5" customWidth="1"/>
    <col min="38" max="16384" width="9.140625" style="5"/>
  </cols>
  <sheetData>
    <row r="1" spans="1:37" ht="15" thickTop="1" x14ac:dyDescent="0.2">
      <c r="A1" s="2"/>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4"/>
    </row>
    <row r="2" spans="1:37" ht="14" customHeight="1" thickBot="1" x14ac:dyDescent="0.25">
      <c r="A2" s="6"/>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8"/>
      <c r="AK2" s="11"/>
    </row>
    <row r="3" spans="1:37" ht="26" customHeight="1" thickBot="1" x14ac:dyDescent="0.35">
      <c r="A3" s="6"/>
      <c r="B3" s="7"/>
      <c r="C3" s="193" t="s">
        <v>211</v>
      </c>
      <c r="D3" s="193"/>
      <c r="E3" s="193"/>
      <c r="F3" s="193"/>
      <c r="G3" s="193"/>
      <c r="H3" s="193"/>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1"/>
    </row>
    <row r="4" spans="1:37" ht="22" x14ac:dyDescent="0.25">
      <c r="A4" s="6"/>
      <c r="B4" s="7"/>
      <c r="C4" s="12" t="s">
        <v>50</v>
      </c>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8"/>
    </row>
    <row r="5" spans="1:37" ht="22" customHeight="1" x14ac:dyDescent="0.2">
      <c r="A5" s="6"/>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8"/>
    </row>
    <row r="6" spans="1:37" ht="18" customHeight="1" x14ac:dyDescent="0.2">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8"/>
    </row>
    <row r="7" spans="1:37" hidden="1" x14ac:dyDescent="0.2">
      <c r="A7" s="27"/>
    </row>
    <row r="8" spans="1:37" hidden="1" x14ac:dyDescent="0.2">
      <c r="A8" s="28"/>
      <c r="B8" s="13" t="s">
        <v>3</v>
      </c>
    </row>
    <row r="9" spans="1:37" hidden="1" x14ac:dyDescent="0.2">
      <c r="A9" s="29"/>
      <c r="B9" s="13" t="s">
        <v>4</v>
      </c>
    </row>
    <row r="10" spans="1:37" hidden="1" x14ac:dyDescent="0.2">
      <c r="A10" s="27"/>
    </row>
    <row r="11" spans="1:37" s="51" customFormat="1" ht="15" hidden="1" x14ac:dyDescent="0.2">
      <c r="A11" s="49" t="s">
        <v>6</v>
      </c>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row>
    <row r="12" spans="1:37" ht="22" hidden="1" x14ac:dyDescent="0.25">
      <c r="A12" s="173" t="s">
        <v>102</v>
      </c>
      <c r="B12" s="173"/>
      <c r="C12" s="173"/>
      <c r="D12" s="173"/>
      <c r="E12" s="173"/>
      <c r="F12" s="14"/>
      <c r="G12" s="173" t="s">
        <v>103</v>
      </c>
      <c r="H12" s="173"/>
      <c r="I12" s="173"/>
      <c r="J12" s="173"/>
      <c r="K12" s="173"/>
      <c r="M12" s="173" t="s">
        <v>104</v>
      </c>
      <c r="N12" s="173"/>
      <c r="O12" s="173"/>
      <c r="P12" s="173"/>
      <c r="Q12" s="173"/>
    </row>
    <row r="13" spans="1:37" ht="15" hidden="1" thickBot="1" x14ac:dyDescent="0.25">
      <c r="A13" s="16" t="s">
        <v>53</v>
      </c>
      <c r="B13" s="16"/>
      <c r="C13" s="16"/>
      <c r="D13" s="16"/>
      <c r="E13" s="16"/>
      <c r="G13" s="16" t="s">
        <v>51</v>
      </c>
      <c r="H13" s="16"/>
      <c r="I13" s="16"/>
      <c r="J13" s="16"/>
      <c r="K13" s="16"/>
      <c r="L13" s="1"/>
      <c r="M13" s="16" t="s">
        <v>52</v>
      </c>
      <c r="N13" s="16"/>
      <c r="O13" s="16"/>
      <c r="P13" s="16"/>
      <c r="Q13" s="16"/>
    </row>
    <row r="14" spans="1:37" hidden="1" x14ac:dyDescent="0.2">
      <c r="B14" s="30">
        <v>2024</v>
      </c>
      <c r="C14" s="30">
        <v>2025</v>
      </c>
      <c r="D14" s="30">
        <v>2026</v>
      </c>
      <c r="E14" s="30">
        <v>2027</v>
      </c>
      <c r="H14" s="30">
        <v>2025</v>
      </c>
      <c r="I14" s="30">
        <v>2026</v>
      </c>
      <c r="J14" s="30">
        <v>2027</v>
      </c>
      <c r="K14" s="30">
        <v>2028</v>
      </c>
      <c r="N14" s="30">
        <v>2024</v>
      </c>
      <c r="O14" s="30">
        <v>2025</v>
      </c>
      <c r="P14" s="30">
        <v>2026</v>
      </c>
      <c r="Q14" s="30">
        <v>2027</v>
      </c>
    </row>
    <row r="15" spans="1:37" hidden="1" x14ac:dyDescent="0.2">
      <c r="A15" s="1" t="s">
        <v>12</v>
      </c>
      <c r="B15" s="17">
        <f>'Input Data'!B12</f>
        <v>80000</v>
      </c>
      <c r="C15" s="18">
        <f>B15*(1+C16)</f>
        <v>81600</v>
      </c>
      <c r="D15" s="18">
        <f>C15*(1+D16)</f>
        <v>83232</v>
      </c>
      <c r="E15" s="18">
        <f>D15*(1+E16)</f>
        <v>84896.639999999999</v>
      </c>
      <c r="G15" s="1" t="s">
        <v>12</v>
      </c>
      <c r="H15" s="17">
        <f>'Input Data'!F12</f>
        <v>20000</v>
      </c>
      <c r="I15" s="18">
        <f>H15*(1+I16)</f>
        <v>20700</v>
      </c>
      <c r="J15" s="18">
        <f t="shared" ref="J15:K15" si="0">I15*(1+J16)</f>
        <v>21424.5</v>
      </c>
      <c r="K15" s="18">
        <f t="shared" si="0"/>
        <v>22174.357499999998</v>
      </c>
      <c r="M15" s="1" t="s">
        <v>12</v>
      </c>
      <c r="N15" s="18">
        <f>B15+H15</f>
        <v>100000</v>
      </c>
      <c r="O15" s="18">
        <f>C15+I15</f>
        <v>102300</v>
      </c>
      <c r="P15" s="18">
        <f>D15+J15</f>
        <v>104656.5</v>
      </c>
      <c r="Q15" s="18">
        <f>E15+K15</f>
        <v>107070.9975</v>
      </c>
    </row>
    <row r="16" spans="1:37" hidden="1" x14ac:dyDescent="0.2">
      <c r="A16" s="48" t="s">
        <v>13</v>
      </c>
      <c r="B16" s="40"/>
      <c r="C16" s="19">
        <f>'Input Data'!$B$13</f>
        <v>0.02</v>
      </c>
      <c r="D16" s="19">
        <f>'Input Data'!$B$13</f>
        <v>0.02</v>
      </c>
      <c r="E16" s="19">
        <f>'Input Data'!$B$13</f>
        <v>0.02</v>
      </c>
      <c r="G16" s="48" t="s">
        <v>13</v>
      </c>
      <c r="H16" s="40"/>
      <c r="I16" s="37">
        <f>'Input Data'!$F$13</f>
        <v>3.5000000000000003E-2</v>
      </c>
      <c r="J16" s="37">
        <f>'Input Data'!$F$13</f>
        <v>3.5000000000000003E-2</v>
      </c>
      <c r="K16" s="37">
        <f>'Input Data'!$F$13</f>
        <v>3.5000000000000003E-2</v>
      </c>
      <c r="L16" s="21"/>
      <c r="M16" s="48" t="s">
        <v>13</v>
      </c>
      <c r="N16" s="32"/>
      <c r="O16" s="41">
        <f>O15/N15-1</f>
        <v>2.2999999999999909E-2</v>
      </c>
      <c r="P16" s="41">
        <f>P15/O15-1</f>
        <v>2.3035190615835699E-2</v>
      </c>
      <c r="Q16" s="41">
        <f>Q15/P15-1</f>
        <v>2.3070688394891903E-2</v>
      </c>
      <c r="R16" s="32"/>
    </row>
    <row r="17" spans="1:18" hidden="1" x14ac:dyDescent="0.2">
      <c r="A17" s="1"/>
      <c r="B17" s="40"/>
      <c r="C17" s="40"/>
      <c r="D17" s="40"/>
      <c r="E17" s="40"/>
      <c r="G17" s="1"/>
      <c r="H17" s="40"/>
      <c r="I17" s="40"/>
      <c r="J17" s="40"/>
      <c r="K17" s="40"/>
      <c r="L17" s="21"/>
      <c r="M17" s="1"/>
      <c r="N17" s="43"/>
      <c r="O17" s="43"/>
      <c r="P17" s="43"/>
      <c r="Q17" s="43"/>
      <c r="R17" s="32"/>
    </row>
    <row r="18" spans="1:18" ht="15" hidden="1" thickBot="1" x14ac:dyDescent="0.25">
      <c r="A18" s="16" t="s">
        <v>54</v>
      </c>
      <c r="B18" s="16"/>
      <c r="C18" s="16"/>
      <c r="D18" s="16"/>
      <c r="E18" s="16"/>
      <c r="G18" s="16" t="s">
        <v>71</v>
      </c>
      <c r="H18" s="16"/>
      <c r="I18" s="16"/>
      <c r="J18" s="16"/>
      <c r="K18" s="16"/>
      <c r="L18" s="21"/>
      <c r="M18" s="16" t="s">
        <v>95</v>
      </c>
      <c r="N18" s="16"/>
      <c r="O18" s="16"/>
      <c r="P18" s="16"/>
      <c r="Q18" s="16"/>
      <c r="R18" s="32"/>
    </row>
    <row r="19" spans="1:18" hidden="1" x14ac:dyDescent="0.2">
      <c r="B19" s="30">
        <v>2024</v>
      </c>
      <c r="C19" s="30">
        <v>2025</v>
      </c>
      <c r="D19" s="30">
        <v>2026</v>
      </c>
      <c r="E19" s="30">
        <v>2027</v>
      </c>
      <c r="H19" s="30">
        <v>2024</v>
      </c>
      <c r="I19" s="30">
        <v>2025</v>
      </c>
      <c r="J19" s="30">
        <v>2026</v>
      </c>
      <c r="K19" s="30">
        <v>2027</v>
      </c>
      <c r="L19" s="21"/>
      <c r="N19" s="30">
        <v>2024</v>
      </c>
      <c r="O19" s="30">
        <v>2025</v>
      </c>
      <c r="P19" s="30">
        <v>2026</v>
      </c>
      <c r="Q19" s="30">
        <v>2027</v>
      </c>
      <c r="R19" s="32"/>
    </row>
    <row r="20" spans="1:18" hidden="1" x14ac:dyDescent="0.2">
      <c r="A20" s="1" t="s">
        <v>55</v>
      </c>
      <c r="B20" s="30"/>
      <c r="C20" s="30"/>
      <c r="D20" s="30"/>
      <c r="E20" s="30"/>
      <c r="G20" s="1" t="s">
        <v>55</v>
      </c>
      <c r="H20" s="30"/>
      <c r="I20" s="30"/>
      <c r="J20" s="30"/>
      <c r="K20" s="30"/>
      <c r="L20" s="21"/>
      <c r="M20" s="1" t="s">
        <v>55</v>
      </c>
      <c r="N20" s="30"/>
      <c r="O20" s="30"/>
      <c r="P20" s="30"/>
      <c r="Q20" s="30"/>
      <c r="R20" s="32"/>
    </row>
    <row r="21" spans="1:18" hidden="1" x14ac:dyDescent="0.2">
      <c r="A21" s="5" t="s">
        <v>24</v>
      </c>
      <c r="B21" s="17">
        <f>'Input Data'!B16</f>
        <v>120000</v>
      </c>
      <c r="C21" s="18">
        <f t="shared" ref="C21:E24" si="1">B21*(1+$B$25)</f>
        <v>122400</v>
      </c>
      <c r="D21" s="18">
        <f t="shared" si="1"/>
        <v>124848</v>
      </c>
      <c r="E21" s="18">
        <f t="shared" si="1"/>
        <v>127344.96000000001</v>
      </c>
      <c r="G21" s="5" t="s">
        <v>24</v>
      </c>
      <c r="H21" s="17">
        <f>'Input Data'!F16</f>
        <v>25000</v>
      </c>
      <c r="I21" s="18">
        <f t="shared" ref="I21:K25" si="2">H21*(1+$H$26)</f>
        <v>25874.999999999996</v>
      </c>
      <c r="J21" s="18">
        <f t="shared" si="2"/>
        <v>26780.624999999993</v>
      </c>
      <c r="K21" s="18">
        <f t="shared" si="2"/>
        <v>27717.946874999991</v>
      </c>
      <c r="L21" s="21"/>
      <c r="M21" s="5" t="s">
        <v>24</v>
      </c>
      <c r="N21" s="18">
        <f>B21+H21</f>
        <v>145000</v>
      </c>
      <c r="O21" s="18">
        <f>C21+I21</f>
        <v>148275</v>
      </c>
      <c r="P21" s="18">
        <f>D21+J21</f>
        <v>151628.625</v>
      </c>
      <c r="Q21" s="18">
        <f>E21+K21</f>
        <v>155062.90687499999</v>
      </c>
      <c r="R21" s="32"/>
    </row>
    <row r="22" spans="1:18" hidden="1" x14ac:dyDescent="0.2">
      <c r="A22" s="5" t="s">
        <v>16</v>
      </c>
      <c r="B22" s="17">
        <f>'Input Data'!B17</f>
        <v>9000</v>
      </c>
      <c r="C22" s="18">
        <f t="shared" si="1"/>
        <v>9180</v>
      </c>
      <c r="D22" s="18">
        <f t="shared" si="1"/>
        <v>9363.6</v>
      </c>
      <c r="E22" s="18">
        <f t="shared" si="1"/>
        <v>9550.8720000000012</v>
      </c>
      <c r="G22" s="5" t="s">
        <v>16</v>
      </c>
      <c r="H22" s="17">
        <f>'Input Data'!F17</f>
        <v>2000</v>
      </c>
      <c r="I22" s="18">
        <f t="shared" si="2"/>
        <v>2070</v>
      </c>
      <c r="J22" s="18">
        <f t="shared" si="2"/>
        <v>2142.4499999999998</v>
      </c>
      <c r="K22" s="18">
        <f t="shared" si="2"/>
        <v>2217.4357499999996</v>
      </c>
      <c r="L22" s="21"/>
      <c r="M22" s="5" t="s">
        <v>16</v>
      </c>
      <c r="N22" s="18">
        <f>B22+H22</f>
        <v>11000</v>
      </c>
      <c r="O22" s="18">
        <f t="shared" ref="O22:Q24" si="3">N22*(1+$H$26)</f>
        <v>11385</v>
      </c>
      <c r="P22" s="18">
        <f t="shared" si="3"/>
        <v>11783.474999999999</v>
      </c>
      <c r="Q22" s="18">
        <f t="shared" si="3"/>
        <v>12195.896624999998</v>
      </c>
      <c r="R22" s="32"/>
    </row>
    <row r="23" spans="1:18" hidden="1" x14ac:dyDescent="0.2">
      <c r="A23" s="5" t="s">
        <v>17</v>
      </c>
      <c r="B23" s="17">
        <f>'Input Data'!B18</f>
        <v>21333</v>
      </c>
      <c r="C23" s="18">
        <f t="shared" si="1"/>
        <v>21759.66</v>
      </c>
      <c r="D23" s="18">
        <f t="shared" si="1"/>
        <v>22194.853200000001</v>
      </c>
      <c r="E23" s="18">
        <f t="shared" si="1"/>
        <v>22638.750264000002</v>
      </c>
      <c r="G23" s="5" t="s">
        <v>17</v>
      </c>
      <c r="H23" s="17">
        <f>'Input Data'!F18</f>
        <v>6800</v>
      </c>
      <c r="I23" s="18">
        <f t="shared" si="2"/>
        <v>7037.9999999999991</v>
      </c>
      <c r="J23" s="18">
        <f t="shared" si="2"/>
        <v>7284.3299999999981</v>
      </c>
      <c r="K23" s="18">
        <f t="shared" si="2"/>
        <v>7539.2815499999979</v>
      </c>
      <c r="L23" s="21"/>
      <c r="M23" s="5" t="s">
        <v>17</v>
      </c>
      <c r="N23" s="18">
        <f>B23+H23</f>
        <v>28133</v>
      </c>
      <c r="O23" s="18">
        <f t="shared" si="3"/>
        <v>29117.654999999999</v>
      </c>
      <c r="P23" s="18">
        <f t="shared" si="3"/>
        <v>30136.772924999997</v>
      </c>
      <c r="Q23" s="18">
        <f t="shared" si="3"/>
        <v>31191.559977374996</v>
      </c>
      <c r="R23" s="32"/>
    </row>
    <row r="24" spans="1:18" hidden="1" x14ac:dyDescent="0.2">
      <c r="A24" s="5" t="s">
        <v>26</v>
      </c>
      <c r="B24" s="17">
        <f>'Input Data'!B19</f>
        <v>10000</v>
      </c>
      <c r="C24" s="18">
        <f t="shared" si="1"/>
        <v>10200</v>
      </c>
      <c r="D24" s="18">
        <f t="shared" si="1"/>
        <v>10404</v>
      </c>
      <c r="E24" s="18">
        <f t="shared" si="1"/>
        <v>10612.08</v>
      </c>
      <c r="G24" s="5" t="s">
        <v>26</v>
      </c>
      <c r="H24" s="17">
        <f>'Input Data'!F19</f>
        <v>4300</v>
      </c>
      <c r="I24" s="18">
        <f>H24*(1+$H$26)</f>
        <v>4450.5</v>
      </c>
      <c r="J24" s="18">
        <f t="shared" si="2"/>
        <v>4606.2674999999999</v>
      </c>
      <c r="K24" s="18">
        <f t="shared" si="2"/>
        <v>4767.4868624999999</v>
      </c>
      <c r="L24" s="21"/>
      <c r="M24" s="5" t="s">
        <v>26</v>
      </c>
      <c r="N24" s="18">
        <f>B24+H24</f>
        <v>14300</v>
      </c>
      <c r="O24" s="18">
        <f t="shared" si="3"/>
        <v>14800.499999999998</v>
      </c>
      <c r="P24" s="18">
        <f t="shared" si="3"/>
        <v>15318.517499999996</v>
      </c>
      <c r="Q24" s="18">
        <f t="shared" si="3"/>
        <v>15854.665612499995</v>
      </c>
      <c r="R24" s="32"/>
    </row>
    <row r="25" spans="1:18" ht="14" hidden="1" customHeight="1" x14ac:dyDescent="0.2">
      <c r="A25" s="48" t="s">
        <v>56</v>
      </c>
      <c r="B25" s="60">
        <f>C16</f>
        <v>0.02</v>
      </c>
      <c r="C25" s="180" t="s">
        <v>57</v>
      </c>
      <c r="D25" s="180"/>
      <c r="E25" s="180"/>
      <c r="G25" s="5" t="s">
        <v>30</v>
      </c>
      <c r="H25" s="17">
        <f>'Input Data'!F21</f>
        <v>850</v>
      </c>
      <c r="I25" s="18">
        <f>H25*(1+$H$26)</f>
        <v>879.74999999999989</v>
      </c>
      <c r="J25" s="18">
        <f t="shared" si="2"/>
        <v>910.54124999999976</v>
      </c>
      <c r="K25" s="18">
        <f t="shared" si="2"/>
        <v>942.41019374999973</v>
      </c>
      <c r="L25" s="21"/>
      <c r="M25" s="5" t="s">
        <v>30</v>
      </c>
      <c r="N25" s="18">
        <f>H25</f>
        <v>850</v>
      </c>
      <c r="O25" s="18">
        <f>I25</f>
        <v>879.74999999999989</v>
      </c>
      <c r="P25" s="18">
        <f>J25</f>
        <v>910.54124999999976</v>
      </c>
      <c r="Q25" s="18">
        <f>K25</f>
        <v>942.41019374999973</v>
      </c>
      <c r="R25" s="32"/>
    </row>
    <row r="26" spans="1:18" hidden="1" x14ac:dyDescent="0.2">
      <c r="A26" s="1"/>
      <c r="B26" s="40"/>
      <c r="C26" s="180"/>
      <c r="D26" s="180"/>
      <c r="E26" s="180"/>
      <c r="G26" s="48" t="s">
        <v>58</v>
      </c>
      <c r="H26" s="45">
        <f>I16</f>
        <v>3.5000000000000003E-2</v>
      </c>
      <c r="I26" s="180" t="s">
        <v>60</v>
      </c>
      <c r="J26" s="180"/>
      <c r="K26" s="180"/>
      <c r="L26" s="21"/>
      <c r="M26" s="48" t="s">
        <v>58</v>
      </c>
      <c r="N26" s="45">
        <f>O21/N21-1</f>
        <v>2.2586206896551664E-2</v>
      </c>
      <c r="O26" s="180"/>
      <c r="P26" s="180"/>
      <c r="Q26" s="180"/>
      <c r="R26" s="32"/>
    </row>
    <row r="27" spans="1:18" hidden="1" x14ac:dyDescent="0.2">
      <c r="A27" s="5" t="s">
        <v>88</v>
      </c>
      <c r="B27" s="40"/>
      <c r="C27" s="40"/>
      <c r="D27" s="40"/>
      <c r="E27" s="40"/>
      <c r="I27" s="180"/>
      <c r="J27" s="180"/>
      <c r="K27" s="180"/>
      <c r="L27" s="21"/>
      <c r="O27" s="180"/>
      <c r="P27" s="180"/>
      <c r="Q27" s="180"/>
      <c r="R27" s="32"/>
    </row>
    <row r="28" spans="1:18" hidden="1" x14ac:dyDescent="0.2">
      <c r="B28" s="40"/>
      <c r="C28" s="40"/>
      <c r="D28" s="40"/>
      <c r="E28" s="40"/>
      <c r="G28" s="5" t="s">
        <v>29</v>
      </c>
      <c r="H28" s="17">
        <f>'Input Data'!F20</f>
        <v>6000</v>
      </c>
      <c r="I28" s="18">
        <f>H28*(1+$H$31)</f>
        <v>6300</v>
      </c>
      <c r="J28" s="18">
        <f t="shared" ref="J28:K28" si="4">I28*(1+$H$31)</f>
        <v>6615</v>
      </c>
      <c r="K28" s="18">
        <f t="shared" si="4"/>
        <v>6945.75</v>
      </c>
      <c r="L28" s="21"/>
      <c r="M28" s="5" t="s">
        <v>29</v>
      </c>
      <c r="N28" s="18">
        <f t="shared" ref="N28:Q30" si="5">H28</f>
        <v>6000</v>
      </c>
      <c r="O28" s="18">
        <f t="shared" si="5"/>
        <v>6300</v>
      </c>
      <c r="P28" s="18">
        <f t="shared" si="5"/>
        <v>6615</v>
      </c>
      <c r="Q28" s="18">
        <f t="shared" si="5"/>
        <v>6945.75</v>
      </c>
      <c r="R28" s="32"/>
    </row>
    <row r="29" spans="1:18" ht="15" hidden="1" customHeight="1" x14ac:dyDescent="0.2">
      <c r="A29" s="1"/>
      <c r="G29" s="5" t="s">
        <v>31</v>
      </c>
      <c r="H29" s="17">
        <f>'Input Data'!F22</f>
        <v>5000</v>
      </c>
      <c r="I29" s="18">
        <f t="shared" ref="I29:K30" si="6">H29*(1+$H$31)</f>
        <v>5250</v>
      </c>
      <c r="J29" s="18">
        <f t="shared" si="6"/>
        <v>5512.5</v>
      </c>
      <c r="K29" s="18">
        <f t="shared" si="6"/>
        <v>5788.125</v>
      </c>
      <c r="L29" s="21"/>
      <c r="M29" s="5" t="s">
        <v>31</v>
      </c>
      <c r="N29" s="18">
        <f t="shared" si="5"/>
        <v>5000</v>
      </c>
      <c r="O29" s="18">
        <f t="shared" si="5"/>
        <v>5250</v>
      </c>
      <c r="P29" s="18">
        <f t="shared" si="5"/>
        <v>5512.5</v>
      </c>
      <c r="Q29" s="18">
        <f t="shared" si="5"/>
        <v>5788.125</v>
      </c>
      <c r="R29" s="32"/>
    </row>
    <row r="30" spans="1:18" hidden="1" x14ac:dyDescent="0.2">
      <c r="B30" s="63"/>
      <c r="G30" s="5" t="s">
        <v>32</v>
      </c>
      <c r="H30" s="17">
        <f>'Input Data'!F23</f>
        <v>1500</v>
      </c>
      <c r="I30" s="18">
        <f t="shared" si="6"/>
        <v>1575</v>
      </c>
      <c r="J30" s="18">
        <f t="shared" si="6"/>
        <v>1653.75</v>
      </c>
      <c r="K30" s="18">
        <f t="shared" si="6"/>
        <v>1736.4375</v>
      </c>
      <c r="L30" s="21"/>
      <c r="M30" s="5" t="s">
        <v>32</v>
      </c>
      <c r="N30" s="18">
        <f t="shared" si="5"/>
        <v>1500</v>
      </c>
      <c r="O30" s="18">
        <f t="shared" si="5"/>
        <v>1575</v>
      </c>
      <c r="P30" s="18">
        <f t="shared" si="5"/>
        <v>1653.75</v>
      </c>
      <c r="Q30" s="18">
        <f t="shared" si="5"/>
        <v>1736.4375</v>
      </c>
      <c r="R30" s="32"/>
    </row>
    <row r="31" spans="1:18" hidden="1" x14ac:dyDescent="0.2">
      <c r="G31" s="48" t="s">
        <v>59</v>
      </c>
      <c r="H31" s="20">
        <v>0.05</v>
      </c>
      <c r="I31" s="181" t="s">
        <v>61</v>
      </c>
      <c r="J31" s="181"/>
      <c r="K31" s="181"/>
      <c r="L31" s="21"/>
      <c r="M31" s="48" t="s">
        <v>59</v>
      </c>
      <c r="N31" s="20">
        <f>O28/N28-1</f>
        <v>5.0000000000000044E-2</v>
      </c>
      <c r="O31" s="1"/>
      <c r="P31" s="1"/>
      <c r="Q31" s="1"/>
      <c r="R31" s="32"/>
    </row>
    <row r="32" spans="1:18" hidden="1" x14ac:dyDescent="0.2">
      <c r="G32" s="1"/>
      <c r="H32" s="40"/>
      <c r="I32" s="181"/>
      <c r="J32" s="181"/>
      <c r="K32" s="181"/>
      <c r="L32" s="21"/>
      <c r="M32" s="1"/>
      <c r="N32" s="40"/>
      <c r="O32" s="1"/>
      <c r="P32" s="1"/>
      <c r="Q32" s="1"/>
      <c r="R32" s="32"/>
    </row>
    <row r="33" spans="1:18" ht="15" hidden="1" thickBot="1" x14ac:dyDescent="0.25">
      <c r="F33"/>
      <c r="G33" s="1"/>
      <c r="H33" s="40"/>
      <c r="I33" s="181"/>
      <c r="J33" s="181"/>
      <c r="K33" s="181"/>
      <c r="L33" s="21"/>
      <c r="M33" s="16" t="s">
        <v>96</v>
      </c>
      <c r="N33" s="16"/>
      <c r="O33" s="16"/>
      <c r="P33" s="16"/>
      <c r="Q33" s="16"/>
      <c r="R33" s="32"/>
    </row>
    <row r="34" spans="1:18" hidden="1" x14ac:dyDescent="0.2">
      <c r="F34"/>
      <c r="G34" s="5" t="s">
        <v>88</v>
      </c>
      <c r="H34" s="40"/>
      <c r="I34" s="66"/>
      <c r="J34" s="66"/>
      <c r="K34" s="66"/>
      <c r="L34" s="1"/>
      <c r="N34" s="30">
        <v>2024</v>
      </c>
      <c r="O34" s="30">
        <v>2025</v>
      </c>
      <c r="P34" s="30">
        <v>2026</v>
      </c>
      <c r="Q34" s="30">
        <v>2027</v>
      </c>
      <c r="R34" s="32"/>
    </row>
    <row r="35" spans="1:18" hidden="1" x14ac:dyDescent="0.2">
      <c r="F35"/>
      <c r="G35" s="1"/>
      <c r="H35" s="1"/>
      <c r="I35" s="1"/>
      <c r="J35" s="1"/>
      <c r="K35" s="1"/>
      <c r="L35" s="1"/>
      <c r="M35" s="5" t="s">
        <v>68</v>
      </c>
      <c r="N35" s="18">
        <f>B38+H38</f>
        <v>40</v>
      </c>
      <c r="O35" s="18">
        <f>C38+I38</f>
        <v>40</v>
      </c>
      <c r="P35" s="18">
        <f>D38+J38</f>
        <v>40</v>
      </c>
      <c r="Q35" s="18">
        <f>E38+K38</f>
        <v>40</v>
      </c>
      <c r="R35" s="32"/>
    </row>
    <row r="36" spans="1:18" ht="15" hidden="1" thickBot="1" x14ac:dyDescent="0.25">
      <c r="A36" s="16" t="s">
        <v>77</v>
      </c>
      <c r="B36" s="16"/>
      <c r="C36" s="16"/>
      <c r="D36" s="16"/>
      <c r="E36" s="16"/>
      <c r="F36"/>
      <c r="G36" s="16" t="s">
        <v>79</v>
      </c>
      <c r="H36" s="16"/>
      <c r="I36" s="16"/>
      <c r="J36" s="16"/>
      <c r="K36" s="16"/>
      <c r="L36" s="1"/>
      <c r="M36" s="5" t="s">
        <v>69</v>
      </c>
      <c r="N36" s="18">
        <f>B39</f>
        <v>20</v>
      </c>
      <c r="O36" s="18">
        <f>C39</f>
        <v>20.399999999999999</v>
      </c>
      <c r="P36" s="18">
        <f>D39</f>
        <v>20.808</v>
      </c>
      <c r="Q36" s="18">
        <f>E39</f>
        <v>21.224160000000001</v>
      </c>
      <c r="R36" s="32"/>
    </row>
    <row r="37" spans="1:18" hidden="1" x14ac:dyDescent="0.2">
      <c r="B37" s="30">
        <v>2024</v>
      </c>
      <c r="C37" s="30">
        <v>2025</v>
      </c>
      <c r="D37" s="30">
        <v>2026</v>
      </c>
      <c r="E37" s="30">
        <v>2027</v>
      </c>
      <c r="F37"/>
      <c r="H37" s="30">
        <v>2024</v>
      </c>
      <c r="I37" s="30">
        <v>2025</v>
      </c>
      <c r="J37" s="30">
        <v>2026</v>
      </c>
      <c r="K37" s="30">
        <v>2027</v>
      </c>
      <c r="L37" s="1"/>
      <c r="M37" s="5" t="s">
        <v>70</v>
      </c>
      <c r="N37" s="18">
        <f>B40+H40</f>
        <v>155</v>
      </c>
      <c r="O37" s="18">
        <f>C40+I40</f>
        <v>158.625</v>
      </c>
      <c r="P37" s="18">
        <f>D40+J40</f>
        <v>162.34087500000001</v>
      </c>
      <c r="Q37" s="18">
        <f>E40+K40</f>
        <v>166.150085625</v>
      </c>
      <c r="R37" s="32"/>
    </row>
    <row r="38" spans="1:18" hidden="1" x14ac:dyDescent="0.2">
      <c r="A38" s="5" t="s">
        <v>68</v>
      </c>
      <c r="B38" s="17">
        <f>'Input Data'!$B40</f>
        <v>25</v>
      </c>
      <c r="C38" s="18">
        <f>'Input Data'!$B40</f>
        <v>25</v>
      </c>
      <c r="D38" s="18">
        <f>'Input Data'!$B40</f>
        <v>25</v>
      </c>
      <c r="E38" s="18">
        <f>'Input Data'!$B40</f>
        <v>25</v>
      </c>
      <c r="F38"/>
      <c r="G38" s="5" t="s">
        <v>68</v>
      </c>
      <c r="H38" s="17">
        <f>'Input Data'!$F40</f>
        <v>15</v>
      </c>
      <c r="I38" s="18">
        <f>'Input Data'!$F40</f>
        <v>15</v>
      </c>
      <c r="J38" s="18">
        <f>'Input Data'!$F40</f>
        <v>15</v>
      </c>
      <c r="K38" s="18">
        <f>'Input Data'!$F40</f>
        <v>15</v>
      </c>
      <c r="L38" s="1"/>
      <c r="M38" s="5" t="s">
        <v>72</v>
      </c>
      <c r="N38" s="18">
        <f>H39</f>
        <v>20</v>
      </c>
      <c r="O38" s="18">
        <f>I39</f>
        <v>20.7</v>
      </c>
      <c r="P38" s="18">
        <f>J39</f>
        <v>21.424499999999998</v>
      </c>
      <c r="Q38" s="18">
        <f>K39</f>
        <v>22.174357499999996</v>
      </c>
      <c r="R38" s="32"/>
    </row>
    <row r="39" spans="1:18" hidden="1" x14ac:dyDescent="0.2">
      <c r="A39" s="5" t="s">
        <v>69</v>
      </c>
      <c r="B39" s="17">
        <f>'Input Data'!B41</f>
        <v>20</v>
      </c>
      <c r="C39" s="18">
        <f t="shared" ref="C39:E40" si="7">B39*(1+$B$41)</f>
        <v>20.399999999999999</v>
      </c>
      <c r="D39" s="18">
        <f t="shared" si="7"/>
        <v>20.808</v>
      </c>
      <c r="E39" s="18">
        <f t="shared" si="7"/>
        <v>21.224160000000001</v>
      </c>
      <c r="F39"/>
      <c r="G39" s="5" t="s">
        <v>72</v>
      </c>
      <c r="H39" s="17">
        <f>'Input Data'!$F41</f>
        <v>20</v>
      </c>
      <c r="I39" s="18">
        <f t="shared" ref="I39:K40" si="8">H39*(1+$H$42)</f>
        <v>20.7</v>
      </c>
      <c r="J39" s="18">
        <f t="shared" si="8"/>
        <v>21.424499999999998</v>
      </c>
      <c r="K39" s="18">
        <f t="shared" si="8"/>
        <v>22.174357499999996</v>
      </c>
      <c r="L39" s="1"/>
      <c r="M39" s="5" t="s">
        <v>85</v>
      </c>
      <c r="N39" s="18">
        <f>H41</f>
        <v>7</v>
      </c>
      <c r="O39" s="18">
        <f>I41</f>
        <v>7.3500000000000005</v>
      </c>
      <c r="P39" s="18">
        <f>J41</f>
        <v>7.7175000000000011</v>
      </c>
      <c r="Q39" s="18">
        <f>K41</f>
        <v>8.1033750000000015</v>
      </c>
      <c r="R39" s="32"/>
    </row>
    <row r="40" spans="1:18" hidden="1" x14ac:dyDescent="0.2">
      <c r="A40" s="5" t="s">
        <v>70</v>
      </c>
      <c r="B40" s="17">
        <f>'Input Data'!B42</f>
        <v>120</v>
      </c>
      <c r="C40" s="18">
        <f t="shared" si="7"/>
        <v>122.4</v>
      </c>
      <c r="D40" s="18">
        <f t="shared" si="7"/>
        <v>124.84800000000001</v>
      </c>
      <c r="E40" s="18">
        <f t="shared" si="7"/>
        <v>127.34496000000001</v>
      </c>
      <c r="F40"/>
      <c r="G40" s="5" t="s">
        <v>70</v>
      </c>
      <c r="H40" s="17">
        <f>'Input Data'!$F42</f>
        <v>35</v>
      </c>
      <c r="I40" s="18">
        <f t="shared" si="8"/>
        <v>36.224999999999994</v>
      </c>
      <c r="J40" s="18">
        <f t="shared" si="8"/>
        <v>37.492874999999991</v>
      </c>
      <c r="K40" s="18">
        <f t="shared" si="8"/>
        <v>38.805125624999988</v>
      </c>
      <c r="L40" s="1"/>
      <c r="M40" s="48"/>
      <c r="O40" s="1"/>
      <c r="P40" s="1"/>
      <c r="Q40" s="1"/>
      <c r="R40" s="32"/>
    </row>
    <row r="41" spans="1:18" hidden="1" x14ac:dyDescent="0.2">
      <c r="A41" s="48" t="s">
        <v>78</v>
      </c>
      <c r="B41" s="20">
        <f>C16</f>
        <v>0.02</v>
      </c>
      <c r="F41"/>
      <c r="G41" s="5" t="s">
        <v>85</v>
      </c>
      <c r="H41" s="17">
        <f>'Input Data'!$F43</f>
        <v>7</v>
      </c>
      <c r="I41" s="18">
        <f>H41*(1+$H$43)</f>
        <v>7.3500000000000005</v>
      </c>
      <c r="J41" s="18">
        <f>I41*(1+$H$43)</f>
        <v>7.7175000000000011</v>
      </c>
      <c r="K41" s="18">
        <f>J41*(1+$H$43)</f>
        <v>8.1033750000000015</v>
      </c>
      <c r="L41" s="1"/>
      <c r="M41" s="5" t="s">
        <v>90</v>
      </c>
      <c r="N41" s="71">
        <f>(B42*B38+H44*H38)/(N35)</f>
        <v>53750</v>
      </c>
      <c r="O41" s="1"/>
      <c r="P41" s="1"/>
      <c r="Q41" s="1"/>
      <c r="R41" s="32"/>
    </row>
    <row r="42" spans="1:18" hidden="1" x14ac:dyDescent="0.2">
      <c r="A42" s="5" t="s">
        <v>75</v>
      </c>
      <c r="B42" s="71">
        <f>'Input Data'!$B$30/Sensitivity!B38</f>
        <v>60000</v>
      </c>
      <c r="C42" s="63"/>
      <c r="D42" s="63"/>
      <c r="E42" s="63"/>
      <c r="F42"/>
      <c r="G42" s="48" t="s">
        <v>83</v>
      </c>
      <c r="H42" s="42">
        <f>I16</f>
        <v>3.5000000000000003E-2</v>
      </c>
      <c r="I42" s="1"/>
      <c r="J42" s="1"/>
      <c r="K42" s="1"/>
      <c r="L42" s="1"/>
      <c r="M42" s="5" t="s">
        <v>94</v>
      </c>
      <c r="N42" s="71">
        <f>B43</f>
        <v>135000</v>
      </c>
      <c r="O42" s="1"/>
      <c r="P42" s="1"/>
      <c r="Q42" s="1"/>
      <c r="R42" s="32"/>
    </row>
    <row r="43" spans="1:18" hidden="1" x14ac:dyDescent="0.2">
      <c r="A43" s="5" t="s">
        <v>76</v>
      </c>
      <c r="B43" s="71">
        <f>'Input Data'!$B$27/Sensitivity!B39</f>
        <v>135000</v>
      </c>
      <c r="C43" s="63"/>
      <c r="D43" s="63"/>
      <c r="E43" s="63"/>
      <c r="F43"/>
      <c r="G43" s="48" t="s">
        <v>84</v>
      </c>
      <c r="H43" s="42">
        <f>H31</f>
        <v>0.05</v>
      </c>
      <c r="I43" s="1"/>
      <c r="J43" s="1"/>
      <c r="K43" s="1"/>
      <c r="L43" s="1"/>
      <c r="M43" s="5" t="s">
        <v>91</v>
      </c>
      <c r="N43" s="71">
        <f>(H45*H39)/(N38)</f>
        <v>108625</v>
      </c>
      <c r="O43" s="1"/>
      <c r="P43" s="1"/>
      <c r="Q43" s="1"/>
      <c r="R43" s="32"/>
    </row>
    <row r="44" spans="1:18" hidden="1" x14ac:dyDescent="0.2">
      <c r="A44" s="5" t="s">
        <v>81</v>
      </c>
      <c r="B44" s="71">
        <f>'Input Data'!$B$28/Sensitivity!B40</f>
        <v>52500</v>
      </c>
      <c r="C44" s="63"/>
      <c r="D44" s="63"/>
      <c r="E44" s="63"/>
      <c r="F44"/>
      <c r="G44" s="5" t="s">
        <v>75</v>
      </c>
      <c r="H44" s="71">
        <f>'Input Data'!F31/Sensitivity!H38</f>
        <v>43333.333333333336</v>
      </c>
      <c r="I44" s="1"/>
      <c r="J44" s="1"/>
      <c r="K44" s="1"/>
      <c r="L44" s="1"/>
      <c r="M44" s="5" t="s">
        <v>92</v>
      </c>
      <c r="N44" s="71">
        <f>(B44*B40+H46*H40)/(N37)</f>
        <v>52979.354838709674</v>
      </c>
      <c r="O44" s="1"/>
      <c r="P44" s="1"/>
      <c r="Q44" s="1"/>
      <c r="R44" s="32"/>
    </row>
    <row r="45" spans="1:18" hidden="1" x14ac:dyDescent="0.2">
      <c r="F45"/>
      <c r="G45" s="5" t="s">
        <v>80</v>
      </c>
      <c r="H45" s="71">
        <f>'Input Data'!F27/'Input Data'!F41</f>
        <v>108625</v>
      </c>
      <c r="I45" s="1"/>
      <c r="J45" s="1"/>
      <c r="K45" s="1"/>
      <c r="L45" s="1"/>
      <c r="M45" s="5" t="s">
        <v>93</v>
      </c>
      <c r="N45" s="71">
        <f>H47</f>
        <v>37242.857142857145</v>
      </c>
      <c r="O45" s="1"/>
      <c r="P45" s="1"/>
      <c r="Q45" s="1"/>
      <c r="R45" s="32"/>
    </row>
    <row r="46" spans="1:18" hidden="1" x14ac:dyDescent="0.2">
      <c r="F46"/>
      <c r="G46" s="5" t="s">
        <v>81</v>
      </c>
      <c r="H46" s="71">
        <f>'Input Data'!F28/'Input Data'!F42</f>
        <v>54622.857142857145</v>
      </c>
      <c r="I46" s="1"/>
      <c r="J46" s="1"/>
      <c r="K46" s="1"/>
      <c r="L46" s="1"/>
      <c r="M46" s="1"/>
      <c r="N46" s="1"/>
      <c r="O46" s="54"/>
      <c r="P46" s="54"/>
      <c r="Q46" s="54"/>
      <c r="R46" s="32"/>
    </row>
    <row r="47" spans="1:18" ht="15" hidden="1" thickBot="1" x14ac:dyDescent="0.25">
      <c r="G47" s="5" t="s">
        <v>86</v>
      </c>
      <c r="H47" s="71">
        <f>'Input Data'!F29/'Input Data'!F43</f>
        <v>37242.857142857145</v>
      </c>
      <c r="I47" s="1"/>
      <c r="J47" s="1"/>
      <c r="K47" s="1"/>
      <c r="L47" s="1"/>
      <c r="M47" s="16" t="s">
        <v>97</v>
      </c>
      <c r="N47" s="16"/>
      <c r="O47" s="16"/>
      <c r="P47" s="16"/>
      <c r="Q47" s="16"/>
      <c r="R47" s="32"/>
    </row>
    <row r="48" spans="1:18" hidden="1" x14ac:dyDescent="0.2">
      <c r="F48"/>
      <c r="G48" s="1"/>
      <c r="H48" s="1"/>
      <c r="I48" s="1"/>
      <c r="J48" s="1"/>
      <c r="K48" s="1"/>
      <c r="L48" s="1"/>
      <c r="M48" s="1"/>
      <c r="N48" s="30">
        <v>2024</v>
      </c>
      <c r="O48" s="30">
        <v>2025</v>
      </c>
      <c r="P48" s="30">
        <v>2026</v>
      </c>
      <c r="Q48" s="30">
        <v>2027</v>
      </c>
      <c r="R48" s="32"/>
    </row>
    <row r="49" spans="1:25" ht="15" hidden="1" thickBot="1" x14ac:dyDescent="0.25">
      <c r="A49" s="16" t="s">
        <v>87</v>
      </c>
      <c r="B49" s="16"/>
      <c r="C49" s="16"/>
      <c r="D49" s="16"/>
      <c r="E49" s="16"/>
      <c r="F49"/>
      <c r="G49" s="16" t="s">
        <v>89</v>
      </c>
      <c r="H49" s="16"/>
      <c r="I49" s="16"/>
      <c r="J49" s="16"/>
      <c r="K49" s="16"/>
      <c r="L49" s="55"/>
      <c r="M49" s="1" t="s">
        <v>0</v>
      </c>
      <c r="N49" s="18"/>
      <c r="O49" s="18"/>
      <c r="P49" s="18"/>
      <c r="Q49" s="18"/>
      <c r="R49" s="34"/>
      <c r="V49" s="1"/>
    </row>
    <row r="50" spans="1:25" hidden="1" x14ac:dyDescent="0.2">
      <c r="A50" s="1"/>
      <c r="B50" s="30">
        <v>2024</v>
      </c>
      <c r="C50" s="30">
        <v>2025</v>
      </c>
      <c r="D50" s="30">
        <v>2026</v>
      </c>
      <c r="E50" s="30">
        <v>2027</v>
      </c>
      <c r="F50"/>
      <c r="G50" s="1"/>
      <c r="H50" s="30">
        <v>2024</v>
      </c>
      <c r="I50" s="30">
        <v>2025</v>
      </c>
      <c r="J50" s="30">
        <v>2026</v>
      </c>
      <c r="K50" s="30">
        <v>2027</v>
      </c>
      <c r="M50" s="5" t="s">
        <v>24</v>
      </c>
      <c r="N50" s="67">
        <f t="shared" ref="N50:Q53" si="9">B52+H52</f>
        <v>13300000</v>
      </c>
      <c r="O50" s="67">
        <f t="shared" si="9"/>
        <v>13603500</v>
      </c>
      <c r="P50" s="67">
        <f t="shared" si="9"/>
        <v>13914382.5</v>
      </c>
      <c r="Q50" s="67">
        <f t="shared" si="9"/>
        <v>14232841.087499999</v>
      </c>
      <c r="R50" s="87"/>
      <c r="S50" s="87"/>
      <c r="T50" s="87"/>
      <c r="U50" s="87"/>
      <c r="V50" s="20"/>
      <c r="W50" s="20"/>
      <c r="X50" s="20"/>
      <c r="Y50" s="20"/>
    </row>
    <row r="51" spans="1:25" customFormat="1" hidden="1" x14ac:dyDescent="0.2">
      <c r="A51" s="1" t="s">
        <v>0</v>
      </c>
      <c r="B51" s="18"/>
      <c r="C51" s="18"/>
      <c r="D51" s="18"/>
      <c r="E51" s="18"/>
      <c r="F51" s="5"/>
      <c r="G51" s="1" t="s">
        <v>0</v>
      </c>
      <c r="H51" s="18"/>
      <c r="I51" s="18"/>
      <c r="J51" s="18"/>
      <c r="K51" s="18"/>
      <c r="M51" s="5" t="s">
        <v>16</v>
      </c>
      <c r="N51" s="67">
        <f t="shared" si="9"/>
        <v>5700000</v>
      </c>
      <c r="O51" s="67">
        <f t="shared" si="9"/>
        <v>5832000</v>
      </c>
      <c r="P51" s="67">
        <f t="shared" si="9"/>
        <v>5967270</v>
      </c>
      <c r="Q51" s="67">
        <f t="shared" si="9"/>
        <v>6105897.4500000011</v>
      </c>
      <c r="R51" s="87"/>
      <c r="S51" s="87"/>
      <c r="T51" s="87"/>
      <c r="U51" s="87"/>
      <c r="V51" s="20"/>
      <c r="W51" s="20"/>
      <c r="X51" s="20"/>
      <c r="Y51" s="20"/>
    </row>
    <row r="52" spans="1:25" customFormat="1" hidden="1" x14ac:dyDescent="0.2">
      <c r="A52" s="35" t="s">
        <v>15</v>
      </c>
      <c r="B52" s="67">
        <f>B21*'Input Data'!$C$16</f>
        <v>10800000</v>
      </c>
      <c r="C52" s="67">
        <f>C21*'Input Data'!$C$16</f>
        <v>11016000</v>
      </c>
      <c r="D52" s="67">
        <f>D21*'Input Data'!$C$16</f>
        <v>11236320</v>
      </c>
      <c r="E52" s="67">
        <f>E21*'Input Data'!$C$16</f>
        <v>11461046.4</v>
      </c>
      <c r="F52" s="5"/>
      <c r="G52" s="5" t="s">
        <v>24</v>
      </c>
      <c r="H52" s="61">
        <f>H21*'Input Data'!$G16</f>
        <v>2500000</v>
      </c>
      <c r="I52" s="61">
        <f>I21*'Input Data'!$G16</f>
        <v>2587499.9999999995</v>
      </c>
      <c r="J52" s="61">
        <f>J21*'Input Data'!$G16</f>
        <v>2678062.4999999991</v>
      </c>
      <c r="K52" s="61">
        <f>K21*'Input Data'!$G16</f>
        <v>2771794.6874999991</v>
      </c>
      <c r="M52" s="5" t="s">
        <v>17</v>
      </c>
      <c r="N52" s="67">
        <f t="shared" si="9"/>
        <v>4151950</v>
      </c>
      <c r="O52" s="67">
        <f t="shared" si="9"/>
        <v>4249269</v>
      </c>
      <c r="P52" s="67">
        <f t="shared" si="9"/>
        <v>4349034.18</v>
      </c>
      <c r="Q52" s="67">
        <f t="shared" si="9"/>
        <v>4451311.9566000002</v>
      </c>
      <c r="R52" s="87"/>
      <c r="S52" s="87"/>
      <c r="T52" s="87"/>
      <c r="U52" s="87"/>
      <c r="V52" s="87"/>
      <c r="W52" s="87"/>
      <c r="X52" s="87"/>
    </row>
    <row r="53" spans="1:25" customFormat="1" hidden="1" x14ac:dyDescent="0.2">
      <c r="A53" s="35" t="s">
        <v>16</v>
      </c>
      <c r="B53" s="67">
        <f>B22*'Input Data'!$C17</f>
        <v>4500000</v>
      </c>
      <c r="C53" s="67">
        <f>C22*'Input Data'!$C17</f>
        <v>4590000</v>
      </c>
      <c r="D53" s="67">
        <f>D22*'Input Data'!$C17</f>
        <v>4681800</v>
      </c>
      <c r="E53" s="67">
        <f>E22*'Input Data'!$C17</f>
        <v>4775436.0000000009</v>
      </c>
      <c r="F53" s="5"/>
      <c r="G53" s="5" t="s">
        <v>16</v>
      </c>
      <c r="H53" s="61">
        <f>H22*'Input Data'!$G17</f>
        <v>1200000</v>
      </c>
      <c r="I53" s="61">
        <f>I22*'Input Data'!$G17</f>
        <v>1242000</v>
      </c>
      <c r="J53" s="61">
        <f>J22*'Input Data'!$G17</f>
        <v>1285470</v>
      </c>
      <c r="K53" s="61">
        <f>K22*'Input Data'!$G17</f>
        <v>1330461.4499999997</v>
      </c>
      <c r="M53" s="5" t="s">
        <v>26</v>
      </c>
      <c r="N53" s="67">
        <f t="shared" si="9"/>
        <v>21020000</v>
      </c>
      <c r="O53" s="67">
        <f t="shared" si="9"/>
        <v>21530700</v>
      </c>
      <c r="P53" s="67">
        <f t="shared" si="9"/>
        <v>22054774.5</v>
      </c>
      <c r="Q53" s="67">
        <f t="shared" si="9"/>
        <v>22592601.607500002</v>
      </c>
      <c r="R53" s="87"/>
      <c r="S53" s="87"/>
      <c r="T53" s="87"/>
      <c r="U53" s="87"/>
      <c r="V53" s="87"/>
      <c r="W53" s="87"/>
      <c r="X53" s="87"/>
    </row>
    <row r="54" spans="1:25" customFormat="1" hidden="1" x14ac:dyDescent="0.2">
      <c r="A54" s="35" t="s">
        <v>17</v>
      </c>
      <c r="B54" s="67">
        <f>B23*'Input Data'!$C18</f>
        <v>3199950</v>
      </c>
      <c r="C54" s="67">
        <f>C23*'Input Data'!$C18</f>
        <v>3263949</v>
      </c>
      <c r="D54" s="67">
        <f>D23*'Input Data'!$C18</f>
        <v>3329227.98</v>
      </c>
      <c r="E54" s="67">
        <f>E23*'Input Data'!$C18</f>
        <v>3395812.5396000003</v>
      </c>
      <c r="F54" s="5"/>
      <c r="G54" s="5" t="s">
        <v>17</v>
      </c>
      <c r="H54" s="61">
        <f>H23*'Input Data'!$G18</f>
        <v>952000</v>
      </c>
      <c r="I54" s="61">
        <f>I23*'Input Data'!$G18</f>
        <v>985319.99999999988</v>
      </c>
      <c r="J54" s="61">
        <f>J23*'Input Data'!$G18</f>
        <v>1019806.1999999997</v>
      </c>
      <c r="K54" s="61">
        <f>K23*'Input Data'!$G18</f>
        <v>1055499.4169999997</v>
      </c>
      <c r="M54" s="5" t="s">
        <v>30</v>
      </c>
      <c r="N54" s="67">
        <f t="shared" ref="N54:Q57" si="10">H56</f>
        <v>127500</v>
      </c>
      <c r="O54" s="67">
        <f t="shared" si="10"/>
        <v>131962.49999999997</v>
      </c>
      <c r="P54" s="67">
        <f t="shared" si="10"/>
        <v>136581.18749999997</v>
      </c>
      <c r="Q54" s="67">
        <f t="shared" si="10"/>
        <v>141361.52906249996</v>
      </c>
      <c r="R54" s="87"/>
      <c r="S54" s="87"/>
      <c r="T54" s="87"/>
      <c r="U54" s="87"/>
      <c r="V54" s="87"/>
      <c r="W54" s="87"/>
      <c r="X54" s="87"/>
    </row>
    <row r="55" spans="1:25" hidden="1" x14ac:dyDescent="0.2">
      <c r="A55" s="35" t="s">
        <v>18</v>
      </c>
      <c r="B55" s="67">
        <f>B24*'Input Data'!$C19</f>
        <v>15000000</v>
      </c>
      <c r="C55" s="67">
        <f>C24*'Input Data'!$C19</f>
        <v>15300000</v>
      </c>
      <c r="D55" s="67">
        <f>D24*'Input Data'!$C19</f>
        <v>15606000</v>
      </c>
      <c r="E55" s="67">
        <f>E24*'Input Data'!$C19</f>
        <v>15918120</v>
      </c>
      <c r="G55" s="5" t="s">
        <v>26</v>
      </c>
      <c r="H55" s="61">
        <f>H24*'Input Data'!$G19</f>
        <v>6020000</v>
      </c>
      <c r="I55" s="61">
        <f>I24*'Input Data'!$G19</f>
        <v>6230700</v>
      </c>
      <c r="J55" s="61">
        <f>J24*'Input Data'!$G19</f>
        <v>6448774.5</v>
      </c>
      <c r="K55" s="61">
        <f>K24*'Input Data'!$G19</f>
        <v>6674481.6074999999</v>
      </c>
      <c r="M55" s="5" t="s">
        <v>29</v>
      </c>
      <c r="N55" s="67">
        <f t="shared" si="10"/>
        <v>660000</v>
      </c>
      <c r="O55" s="67">
        <f t="shared" si="10"/>
        <v>693000</v>
      </c>
      <c r="P55" s="67">
        <f t="shared" si="10"/>
        <v>727650</v>
      </c>
      <c r="Q55" s="67">
        <f t="shared" si="10"/>
        <v>764032.5</v>
      </c>
      <c r="R55" s="87"/>
      <c r="S55" s="87"/>
      <c r="T55" s="87"/>
      <c r="U55" s="87"/>
      <c r="V55" s="87"/>
      <c r="W55" s="87"/>
      <c r="X55" s="87"/>
    </row>
    <row r="56" spans="1:25" hidden="1" x14ac:dyDescent="0.2">
      <c r="A56" s="58" t="s">
        <v>19</v>
      </c>
      <c r="B56" s="68">
        <f>SUM(B51:B55)</f>
        <v>33499950</v>
      </c>
      <c r="C56" s="68">
        <f t="shared" ref="C56:E56" si="11">SUM(C51:C55)</f>
        <v>34169949</v>
      </c>
      <c r="D56" s="68">
        <f t="shared" si="11"/>
        <v>34853347.980000004</v>
      </c>
      <c r="E56" s="68">
        <f t="shared" si="11"/>
        <v>35550414.939600006</v>
      </c>
      <c r="G56" s="5" t="s">
        <v>30</v>
      </c>
      <c r="H56" s="61">
        <f>H25*'Input Data'!$G21</f>
        <v>127500</v>
      </c>
      <c r="I56" s="61">
        <f>I25*'Input Data'!$G21</f>
        <v>131962.49999999997</v>
      </c>
      <c r="J56" s="61">
        <f>J25*'Input Data'!$G21</f>
        <v>136581.18749999997</v>
      </c>
      <c r="K56" s="61">
        <f>K25*'Input Data'!$G21</f>
        <v>141361.52906249996</v>
      </c>
      <c r="M56" s="5" t="s">
        <v>31</v>
      </c>
      <c r="N56" s="67">
        <f t="shared" si="10"/>
        <v>150000</v>
      </c>
      <c r="O56" s="67">
        <f t="shared" si="10"/>
        <v>157500</v>
      </c>
      <c r="P56" s="67">
        <f t="shared" si="10"/>
        <v>165375</v>
      </c>
      <c r="Q56" s="67">
        <f t="shared" si="10"/>
        <v>173643.75</v>
      </c>
      <c r="R56" s="87"/>
      <c r="S56" s="87"/>
      <c r="T56" s="87"/>
      <c r="U56" s="87"/>
      <c r="V56" s="87"/>
      <c r="W56" s="87"/>
      <c r="X56" s="87"/>
    </row>
    <row r="57" spans="1:25" hidden="1" x14ac:dyDescent="0.2">
      <c r="A57" s="1" t="s">
        <v>8</v>
      </c>
      <c r="B57" s="18"/>
      <c r="C57" s="18"/>
      <c r="D57" s="18"/>
      <c r="E57" s="18"/>
      <c r="G57" s="5" t="s">
        <v>29</v>
      </c>
      <c r="H57" s="61">
        <f>H28*'Input Data'!$G20</f>
        <v>660000</v>
      </c>
      <c r="I57" s="61">
        <f>I28*'Input Data'!$G20</f>
        <v>693000</v>
      </c>
      <c r="J57" s="61">
        <f>J28*'Input Data'!$G20</f>
        <v>727650</v>
      </c>
      <c r="K57" s="61">
        <f>K28*'Input Data'!$G20</f>
        <v>764032.5</v>
      </c>
      <c r="M57" s="5" t="s">
        <v>32</v>
      </c>
      <c r="N57" s="67">
        <f t="shared" si="10"/>
        <v>825000</v>
      </c>
      <c r="O57" s="67">
        <f t="shared" si="10"/>
        <v>866250</v>
      </c>
      <c r="P57" s="67">
        <f t="shared" si="10"/>
        <v>909562.5</v>
      </c>
      <c r="Q57" s="67">
        <f t="shared" si="10"/>
        <v>955040.625</v>
      </c>
      <c r="R57" s="87"/>
      <c r="S57" s="87"/>
      <c r="T57" s="87"/>
      <c r="U57" s="87"/>
      <c r="V57" s="87"/>
      <c r="W57" s="87"/>
      <c r="X57" s="87"/>
    </row>
    <row r="58" spans="1:25" hidden="1" x14ac:dyDescent="0.2">
      <c r="A58" s="5" t="s">
        <v>35</v>
      </c>
      <c r="B58" s="67">
        <f>$B$43*B39+B40*$B$44</f>
        <v>9000000</v>
      </c>
      <c r="C58" s="67">
        <f>$B$43*C39+C40*$B$44</f>
        <v>9180000</v>
      </c>
      <c r="D58" s="67">
        <f>$B$43*D39+D40*$B$44</f>
        <v>9363600</v>
      </c>
      <c r="E58" s="67">
        <f>$B$43*E39+E40*$B$44</f>
        <v>9550872</v>
      </c>
      <c r="G58" s="5" t="s">
        <v>31</v>
      </c>
      <c r="H58" s="61">
        <f>'Input Data'!$G22*H29</f>
        <v>150000</v>
      </c>
      <c r="I58" s="61">
        <f>'Input Data'!$G22*I29</f>
        <v>157500</v>
      </c>
      <c r="J58" s="61">
        <f>'Input Data'!$G22*J29</f>
        <v>165375</v>
      </c>
      <c r="K58" s="61">
        <f>'Input Data'!$G22*K29</f>
        <v>173643.75</v>
      </c>
      <c r="M58" s="58" t="s">
        <v>19</v>
      </c>
      <c r="N58" s="68">
        <f>SUM(N49:N57)</f>
        <v>45934450</v>
      </c>
      <c r="O58" s="68">
        <f>SUM(O49:O57)</f>
        <v>47064181.5</v>
      </c>
      <c r="P58" s="68">
        <f>SUM(P49:P57)</f>
        <v>48224629.8675</v>
      </c>
      <c r="Q58" s="68">
        <f>SUM(Q49:Q57)</f>
        <v>49416730.505662508</v>
      </c>
      <c r="R58" s="87"/>
      <c r="S58" s="87"/>
      <c r="T58" s="87"/>
      <c r="U58" s="87"/>
      <c r="V58" s="87"/>
      <c r="W58" s="87"/>
      <c r="X58" s="87"/>
    </row>
    <row r="59" spans="1:25" hidden="1" x14ac:dyDescent="0.2">
      <c r="A59" s="5" t="s">
        <v>36</v>
      </c>
      <c r="B59" s="67">
        <f>'Input Data'!$B$29</f>
        <v>200000</v>
      </c>
      <c r="C59" s="67">
        <f>'Input Data'!$B$29</f>
        <v>200000</v>
      </c>
      <c r="D59" s="67">
        <f>'Input Data'!$B$29</f>
        <v>200000</v>
      </c>
      <c r="E59" s="67">
        <f>'Input Data'!$B$29</f>
        <v>200000</v>
      </c>
      <c r="F59"/>
      <c r="G59" s="5" t="s">
        <v>32</v>
      </c>
      <c r="H59" s="61">
        <f>'Input Data'!$G23*H30</f>
        <v>825000</v>
      </c>
      <c r="I59" s="61">
        <f>'Input Data'!$G23*I30</f>
        <v>866250</v>
      </c>
      <c r="J59" s="61">
        <f>'Input Data'!$G23*J30</f>
        <v>909562.5</v>
      </c>
      <c r="K59" s="61">
        <f>'Input Data'!$G23*K30</f>
        <v>955040.625</v>
      </c>
      <c r="M59" s="1" t="s">
        <v>8</v>
      </c>
      <c r="N59" s="67"/>
      <c r="O59" s="67"/>
      <c r="P59" s="67"/>
      <c r="Q59" s="67"/>
      <c r="R59" s="87"/>
      <c r="S59" s="87"/>
      <c r="T59" s="87"/>
      <c r="U59" s="87"/>
      <c r="V59" s="87"/>
      <c r="W59" s="87"/>
      <c r="X59" s="87"/>
    </row>
    <row r="60" spans="1:25" hidden="1" x14ac:dyDescent="0.2">
      <c r="A60" s="5" t="s">
        <v>64</v>
      </c>
      <c r="B60" s="67">
        <f>B38*$B$42</f>
        <v>1500000</v>
      </c>
      <c r="C60" s="67">
        <f>C38*$B$42</f>
        <v>1500000</v>
      </c>
      <c r="D60" s="67">
        <f>D38*$B$42</f>
        <v>1500000</v>
      </c>
      <c r="E60" s="67">
        <f>E38*$B$42</f>
        <v>1500000</v>
      </c>
      <c r="G60" s="58" t="s">
        <v>19</v>
      </c>
      <c r="H60" s="62">
        <f>SUM(H51:H59)</f>
        <v>12434500</v>
      </c>
      <c r="I60" s="62">
        <f t="shared" ref="I60:K60" si="12">SUM(I51:I59)</f>
        <v>12894232.5</v>
      </c>
      <c r="J60" s="62">
        <f t="shared" si="12"/>
        <v>13371281.887499999</v>
      </c>
      <c r="K60" s="62">
        <f t="shared" si="12"/>
        <v>13866315.566062499</v>
      </c>
      <c r="M60" s="5" t="s">
        <v>35</v>
      </c>
      <c r="N60" s="67">
        <f t="shared" ref="N60:Q62" si="13">H62+B58</f>
        <v>13345000</v>
      </c>
      <c r="O60" s="67">
        <f t="shared" si="13"/>
        <v>13680985.5</v>
      </c>
      <c r="P60" s="67">
        <f t="shared" si="13"/>
        <v>14026226.0175</v>
      </c>
      <c r="Q60" s="67">
        <f t="shared" si="13"/>
        <v>14381001.254362499</v>
      </c>
      <c r="R60" s="87"/>
      <c r="S60" s="87"/>
      <c r="T60" s="87"/>
      <c r="U60" s="87"/>
      <c r="V60" s="87"/>
      <c r="W60" s="87"/>
      <c r="X60" s="87"/>
    </row>
    <row r="61" spans="1:25" hidden="1" x14ac:dyDescent="0.2">
      <c r="A61" s="5" t="s">
        <v>45</v>
      </c>
      <c r="B61" s="67"/>
      <c r="C61" s="18"/>
      <c r="D61" s="18"/>
      <c r="E61" s="18"/>
      <c r="G61" s="1" t="s">
        <v>8</v>
      </c>
      <c r="H61" s="18"/>
      <c r="I61" s="18"/>
      <c r="J61" s="18"/>
      <c r="K61" s="18"/>
      <c r="M61" s="5" t="s">
        <v>36</v>
      </c>
      <c r="N61" s="67">
        <f t="shared" si="13"/>
        <v>325000</v>
      </c>
      <c r="O61" s="67">
        <f t="shared" si="13"/>
        <v>325000</v>
      </c>
      <c r="P61" s="67">
        <f t="shared" si="13"/>
        <v>325000</v>
      </c>
      <c r="Q61" s="67">
        <f t="shared" si="13"/>
        <v>325000</v>
      </c>
      <c r="R61" s="87"/>
      <c r="S61" s="87"/>
      <c r="T61" s="87"/>
      <c r="U61" s="87"/>
      <c r="V61" s="87"/>
      <c r="W61" s="87"/>
      <c r="X61" s="87"/>
    </row>
    <row r="62" spans="1:25" hidden="1" x14ac:dyDescent="0.2">
      <c r="A62" s="48" t="s">
        <v>42</v>
      </c>
      <c r="B62" s="67">
        <f>'Input Data'!B32</f>
        <v>10400000</v>
      </c>
      <c r="C62" s="67">
        <f>B62*(1+$B$25)</f>
        <v>10608000</v>
      </c>
      <c r="D62" s="67">
        <f t="shared" ref="D62:E62" si="14">C62*(1+$B$25)</f>
        <v>10820160</v>
      </c>
      <c r="E62" s="67">
        <f t="shared" si="14"/>
        <v>11036563.200000001</v>
      </c>
      <c r="G62" s="5" t="s">
        <v>35</v>
      </c>
      <c r="H62" s="67">
        <f>H39*$H$45+H40*$H$46+H41*$H$47</f>
        <v>4345000</v>
      </c>
      <c r="I62" s="67">
        <f t="shared" ref="I62:K62" si="15">I39*$H$45+I40*$H$46+I41*$H$47</f>
        <v>4500985.5</v>
      </c>
      <c r="J62" s="67">
        <f t="shared" si="15"/>
        <v>4662626.0175000001</v>
      </c>
      <c r="K62" s="67">
        <f t="shared" si="15"/>
        <v>4830129.2543624993</v>
      </c>
      <c r="M62" s="5" t="s">
        <v>64</v>
      </c>
      <c r="N62" s="67">
        <f t="shared" si="13"/>
        <v>2150000</v>
      </c>
      <c r="O62" s="67">
        <f t="shared" si="13"/>
        <v>2150000</v>
      </c>
      <c r="P62" s="67">
        <f t="shared" si="13"/>
        <v>2150000</v>
      </c>
      <c r="Q62" s="67">
        <f t="shared" si="13"/>
        <v>2150000</v>
      </c>
      <c r="R62" s="87"/>
      <c r="S62" s="87"/>
      <c r="T62" s="87"/>
      <c r="U62" s="87"/>
      <c r="V62" s="87"/>
      <c r="W62" s="87"/>
      <c r="X62" s="87"/>
    </row>
    <row r="63" spans="1:25" hidden="1" x14ac:dyDescent="0.2">
      <c r="A63" s="48" t="s">
        <v>43</v>
      </c>
      <c r="B63" s="67">
        <f>'Input Data'!$B33</f>
        <v>325000</v>
      </c>
      <c r="C63" s="67">
        <f>'Input Data'!$B33</f>
        <v>325000</v>
      </c>
      <c r="D63" s="67">
        <f>'Input Data'!$B33</f>
        <v>325000</v>
      </c>
      <c r="E63" s="67">
        <f>'Input Data'!$B33</f>
        <v>325000</v>
      </c>
      <c r="G63" s="5" t="s">
        <v>36</v>
      </c>
      <c r="H63" s="67">
        <f>'Input Data'!$F30</f>
        <v>125000</v>
      </c>
      <c r="I63" s="67">
        <f>'Input Data'!$F30</f>
        <v>125000</v>
      </c>
      <c r="J63" s="67">
        <f>'Input Data'!$F30</f>
        <v>125000</v>
      </c>
      <c r="K63" s="67">
        <f>'Input Data'!$F30</f>
        <v>125000</v>
      </c>
      <c r="M63" s="5" t="s">
        <v>45</v>
      </c>
      <c r="N63" s="67">
        <f>H65+SUM(B62:B64)</f>
        <v>14865175</v>
      </c>
      <c r="O63" s="67">
        <f>I65+SUM(C62:C64)</f>
        <v>15073175</v>
      </c>
      <c r="P63" s="67">
        <f>J65+SUM(D62:D64)</f>
        <v>15285335</v>
      </c>
      <c r="Q63" s="67">
        <f>K65+SUM(E62:E64)</f>
        <v>15501738.200000001</v>
      </c>
      <c r="R63" s="87"/>
      <c r="S63" s="87"/>
      <c r="T63" s="87"/>
      <c r="U63" s="87"/>
      <c r="V63" s="87"/>
      <c r="W63" s="87"/>
      <c r="X63" s="87"/>
    </row>
    <row r="64" spans="1:25" hidden="1" x14ac:dyDescent="0.2">
      <c r="A64" s="48" t="s">
        <v>44</v>
      </c>
      <c r="B64" s="67">
        <f>'Input Data'!$B34</f>
        <v>2275000</v>
      </c>
      <c r="C64" s="67">
        <f>'Input Data'!$B34</f>
        <v>2275000</v>
      </c>
      <c r="D64" s="67">
        <f>'Input Data'!$B34</f>
        <v>2275000</v>
      </c>
      <c r="E64" s="67">
        <f>'Input Data'!$B34</f>
        <v>2275000</v>
      </c>
      <c r="G64" s="5" t="s">
        <v>64</v>
      </c>
      <c r="H64" s="67">
        <f>$H$44*H38</f>
        <v>650000</v>
      </c>
      <c r="I64" s="67">
        <f t="shared" ref="I64:K64" si="16">$H$44*I38</f>
        <v>650000</v>
      </c>
      <c r="J64" s="67">
        <f t="shared" si="16"/>
        <v>650000</v>
      </c>
      <c r="K64" s="67">
        <f t="shared" si="16"/>
        <v>650000</v>
      </c>
      <c r="M64" s="5" t="s">
        <v>38</v>
      </c>
      <c r="N64" s="67">
        <f t="shared" ref="N64:Q66" si="17">H66+B65</f>
        <v>7860000</v>
      </c>
      <c r="O64" s="67">
        <f t="shared" si="17"/>
        <v>8054700</v>
      </c>
      <c r="P64" s="67">
        <f t="shared" si="17"/>
        <v>8254606.5</v>
      </c>
      <c r="Q64" s="67">
        <f t="shared" si="17"/>
        <v>8459869.567499999</v>
      </c>
      <c r="R64" s="32"/>
    </row>
    <row r="65" spans="1:39" hidden="1" x14ac:dyDescent="0.2">
      <c r="A65" s="5" t="s">
        <v>38</v>
      </c>
      <c r="B65" s="67">
        <f>'Input Data'!B35</f>
        <v>5360000</v>
      </c>
      <c r="C65" s="67">
        <f>B65*(1+$B$25)</f>
        <v>5467200</v>
      </c>
      <c r="D65" s="67">
        <f t="shared" ref="D65:E65" si="18">C65*(1+$B$25)</f>
        <v>5576544</v>
      </c>
      <c r="E65" s="67">
        <f t="shared" si="18"/>
        <v>5688074.8799999999</v>
      </c>
      <c r="G65" s="5" t="s">
        <v>45</v>
      </c>
      <c r="H65" s="67">
        <f>'Input Data'!$F32</f>
        <v>1865175</v>
      </c>
      <c r="I65" s="67">
        <f>'Input Data'!$F32</f>
        <v>1865175</v>
      </c>
      <c r="J65" s="67">
        <f>'Input Data'!$F32</f>
        <v>1865175</v>
      </c>
      <c r="K65" s="67">
        <f>'Input Data'!$F32</f>
        <v>1865175</v>
      </c>
      <c r="M65" s="5" t="s">
        <v>39</v>
      </c>
      <c r="N65" s="67">
        <f t="shared" si="17"/>
        <v>1100000</v>
      </c>
      <c r="O65" s="67">
        <f t="shared" si="17"/>
        <v>1100000</v>
      </c>
      <c r="P65" s="67">
        <f t="shared" si="17"/>
        <v>1100000</v>
      </c>
      <c r="Q65" s="67">
        <f t="shared" si="17"/>
        <v>1100000</v>
      </c>
      <c r="R65" s="32"/>
    </row>
    <row r="66" spans="1:39" hidden="1" x14ac:dyDescent="0.2">
      <c r="A66" s="5" t="s">
        <v>39</v>
      </c>
      <c r="B66" s="67">
        <f>'Input Data'!$B36</f>
        <v>500000</v>
      </c>
      <c r="C66" s="67">
        <f>'Input Data'!$B36</f>
        <v>500000</v>
      </c>
      <c r="D66" s="67">
        <f>'Input Data'!$B36</f>
        <v>500000</v>
      </c>
      <c r="E66" s="67">
        <f>'Input Data'!$B36</f>
        <v>500000</v>
      </c>
      <c r="G66" s="5" t="s">
        <v>38</v>
      </c>
      <c r="H66" s="67">
        <f>'Input Data'!$F33</f>
        <v>2500000</v>
      </c>
      <c r="I66" s="67">
        <f>H66*(1+I16)</f>
        <v>2587500</v>
      </c>
      <c r="J66" s="67">
        <f t="shared" ref="J66:K66" si="19">I66*(1+J16)</f>
        <v>2678062.5</v>
      </c>
      <c r="K66" s="67">
        <f t="shared" si="19"/>
        <v>2771794.6875</v>
      </c>
      <c r="M66" s="5" t="s">
        <v>40</v>
      </c>
      <c r="N66" s="67">
        <f t="shared" si="17"/>
        <v>2300000</v>
      </c>
      <c r="O66" s="67">
        <f t="shared" si="17"/>
        <v>2300000</v>
      </c>
      <c r="P66" s="67">
        <f t="shared" si="17"/>
        <v>2300000</v>
      </c>
      <c r="Q66" s="67">
        <f t="shared" si="17"/>
        <v>2300000</v>
      </c>
      <c r="R66" s="32"/>
    </row>
    <row r="67" spans="1:39" customFormat="1" hidden="1" x14ac:dyDescent="0.2">
      <c r="A67" s="5" t="s">
        <v>40</v>
      </c>
      <c r="B67" s="67">
        <f>'Input Data'!$B37</f>
        <v>800000</v>
      </c>
      <c r="C67" s="67">
        <f>'Input Data'!$B37</f>
        <v>800000</v>
      </c>
      <c r="D67" s="67">
        <f>'Input Data'!$B37</f>
        <v>800000</v>
      </c>
      <c r="E67" s="67">
        <f>'Input Data'!$B37</f>
        <v>800000</v>
      </c>
      <c r="F67" s="5"/>
      <c r="G67" s="5" t="s">
        <v>39</v>
      </c>
      <c r="H67" s="67">
        <f>'Input Data'!$F34</f>
        <v>600000</v>
      </c>
      <c r="I67" s="67">
        <f>'Input Data'!$F34</f>
        <v>600000</v>
      </c>
      <c r="J67" s="67">
        <f>'Input Data'!$F34</f>
        <v>600000</v>
      </c>
      <c r="K67" s="67">
        <f>'Input Data'!$F34</f>
        <v>600000</v>
      </c>
      <c r="M67" s="58" t="s">
        <v>19</v>
      </c>
      <c r="N67" s="56">
        <f>SUM(N60:N66)</f>
        <v>41945175</v>
      </c>
      <c r="O67" s="56">
        <f>SUM(O60:O66)</f>
        <v>42683860.5</v>
      </c>
      <c r="P67" s="56">
        <f>SUM(P60:P66)</f>
        <v>43441167.517499998</v>
      </c>
      <c r="Q67" s="56">
        <f>SUM(Q60:Q66)</f>
        <v>44217609.021862507</v>
      </c>
    </row>
    <row r="68" spans="1:39" hidden="1" x14ac:dyDescent="0.2">
      <c r="A68" s="58" t="s">
        <v>19</v>
      </c>
      <c r="B68" s="56">
        <f>SUM(B58:B67)</f>
        <v>30360000</v>
      </c>
      <c r="C68" s="56">
        <f>SUM(C58:C67)</f>
        <v>30855200</v>
      </c>
      <c r="D68" s="56">
        <f t="shared" ref="D68:E68" si="20">SUM(D58:D67)</f>
        <v>31360304</v>
      </c>
      <c r="E68" s="56">
        <f t="shared" si="20"/>
        <v>31875510.080000002</v>
      </c>
      <c r="G68" s="5" t="s">
        <v>40</v>
      </c>
      <c r="H68" s="67">
        <f>'Input Data'!$F35</f>
        <v>1500000</v>
      </c>
      <c r="I68" s="67">
        <f>'Input Data'!$F35</f>
        <v>1500000</v>
      </c>
      <c r="J68" s="67">
        <f>'Input Data'!$F35</f>
        <v>1500000</v>
      </c>
      <c r="K68" s="67">
        <f>'Input Data'!$F35</f>
        <v>1500000</v>
      </c>
      <c r="M68" s="35"/>
      <c r="N68" s="57"/>
      <c r="O68" s="57"/>
      <c r="P68" s="57"/>
      <c r="Q68" s="57"/>
    </row>
    <row r="69" spans="1:39" hidden="1" x14ac:dyDescent="0.2">
      <c r="A69" s="48"/>
      <c r="B69" s="54"/>
      <c r="C69" s="54"/>
      <c r="D69" s="54"/>
      <c r="E69" s="54"/>
      <c r="G69" s="58" t="s">
        <v>19</v>
      </c>
      <c r="H69" s="56">
        <f>SUM(H62:H68)</f>
        <v>11585175</v>
      </c>
      <c r="I69" s="56">
        <f>SUM(I62:I68)</f>
        <v>11828660.5</v>
      </c>
      <c r="J69" s="56">
        <f>SUM(J62:J68)</f>
        <v>12080863.5175</v>
      </c>
      <c r="K69" s="56">
        <f>SUM(K62:K68)</f>
        <v>12342098.941862499</v>
      </c>
      <c r="L69" s="55"/>
      <c r="M69" s="1" t="s">
        <v>1</v>
      </c>
      <c r="N69" s="46">
        <f>N58-N67</f>
        <v>3989275</v>
      </c>
      <c r="O69" s="46">
        <f>O58-O67</f>
        <v>4380321</v>
      </c>
      <c r="P69" s="46">
        <f>P58-P67</f>
        <v>4783462.3500000015</v>
      </c>
      <c r="Q69" s="46">
        <f>Q58-Q67</f>
        <v>5199121.4838000014</v>
      </c>
    </row>
    <row r="70" spans="1:39" hidden="1" x14ac:dyDescent="0.2">
      <c r="A70" s="1" t="s">
        <v>1</v>
      </c>
      <c r="B70" s="46">
        <f>B56-B68</f>
        <v>3139950</v>
      </c>
      <c r="C70" s="46">
        <f>C56-C68</f>
        <v>3314749</v>
      </c>
      <c r="D70" s="46">
        <f>D56-D68</f>
        <v>3493043.9800000042</v>
      </c>
      <c r="E70" s="46">
        <f>E56-E68</f>
        <v>3674904.8596000038</v>
      </c>
      <c r="G70" s="35"/>
      <c r="H70" s="57"/>
      <c r="I70" s="57"/>
      <c r="J70" s="57"/>
      <c r="K70" s="57"/>
      <c r="M70" s="34" t="s">
        <v>2</v>
      </c>
      <c r="N70" s="36">
        <f>N69/N58</f>
        <v>8.6847126720794518E-2</v>
      </c>
      <c r="O70" s="36">
        <f>O69/O58</f>
        <v>9.307122445123156E-2</v>
      </c>
      <c r="P70" s="36">
        <f>P69/P58</f>
        <v>9.9191271413442569E-2</v>
      </c>
      <c r="Q70" s="36">
        <f>Q69/Q58</f>
        <v>0.10520974234028393</v>
      </c>
    </row>
    <row r="71" spans="1:39" s="32" customFormat="1" hidden="1" x14ac:dyDescent="0.2">
      <c r="A71" s="34" t="s">
        <v>2</v>
      </c>
      <c r="B71" s="36">
        <f>B70/B56</f>
        <v>9.3729990641777075E-2</v>
      </c>
      <c r="C71" s="36">
        <f>C70/C56</f>
        <v>9.7007724535965803E-2</v>
      </c>
      <c r="D71" s="36">
        <f>D70/D56</f>
        <v>0.1002211891381117</v>
      </c>
      <c r="E71" s="36">
        <f>E70/E56</f>
        <v>0.1033716446304115</v>
      </c>
      <c r="F71" s="5"/>
      <c r="G71" s="1" t="s">
        <v>1</v>
      </c>
      <c r="H71" s="46">
        <f>H60-H69</f>
        <v>849325</v>
      </c>
      <c r="I71" s="46">
        <f>I60-I69</f>
        <v>1065572</v>
      </c>
      <c r="J71" s="46">
        <f>J60-J69</f>
        <v>1290418.3699999992</v>
      </c>
      <c r="K71" s="46">
        <f>K60-K69</f>
        <v>1524216.6241999995</v>
      </c>
      <c r="M71" s="35"/>
      <c r="N71" s="54"/>
      <c r="O71" s="54"/>
      <c r="P71" s="54"/>
      <c r="Q71" s="54"/>
    </row>
    <row r="72" spans="1:39" s="32" customFormat="1" hidden="1" x14ac:dyDescent="0.2">
      <c r="A72" s="5"/>
      <c r="B72" s="54"/>
      <c r="C72" s="54"/>
      <c r="D72" s="54"/>
      <c r="E72" s="54"/>
      <c r="F72" s="5"/>
      <c r="G72" s="34" t="s">
        <v>2</v>
      </c>
      <c r="H72" s="36">
        <f>H71/H60</f>
        <v>6.8303912501507899E-2</v>
      </c>
      <c r="I72" s="36">
        <f>I71/I60</f>
        <v>8.2639428131918671E-2</v>
      </c>
      <c r="J72" s="36">
        <f>J71/J60</f>
        <v>9.6506706002984874E-2</v>
      </c>
      <c r="K72" s="36">
        <f>K71/K60</f>
        <v>0.10992225129582987</v>
      </c>
      <c r="M72" s="30" t="s">
        <v>5</v>
      </c>
      <c r="N72" s="33"/>
      <c r="O72" s="33"/>
      <c r="P72" s="33"/>
      <c r="Q72" s="33"/>
    </row>
    <row r="73" spans="1:39" s="32" customFormat="1" hidden="1" x14ac:dyDescent="0.2">
      <c r="A73" s="30" t="s">
        <v>5</v>
      </c>
      <c r="B73" s="33"/>
      <c r="C73" s="33"/>
      <c r="D73" s="33"/>
      <c r="E73" s="33"/>
      <c r="F73" s="5"/>
      <c r="G73" s="35"/>
      <c r="H73" s="57"/>
      <c r="I73" s="57"/>
      <c r="J73" s="57"/>
      <c r="K73" s="57"/>
      <c r="M73" s="5" t="s">
        <v>98</v>
      </c>
      <c r="N73" s="39">
        <f>N60/(N58)</f>
        <v>0.29052269048611662</v>
      </c>
      <c r="O73" s="39">
        <f t="shared" ref="O73:Q73" si="21">O60/(O58)</f>
        <v>0.29068784506536038</v>
      </c>
      <c r="P73" s="39">
        <f t="shared" si="21"/>
        <v>0.29085191645924247</v>
      </c>
      <c r="Q73" s="39">
        <f t="shared" si="21"/>
        <v>0.29101482650121147</v>
      </c>
    </row>
    <row r="74" spans="1:39" s="32" customFormat="1" hidden="1" x14ac:dyDescent="0.2">
      <c r="A74" s="5" t="s">
        <v>98</v>
      </c>
      <c r="B74" s="39">
        <f>B58/(B56)</f>
        <v>0.2686571173986827</v>
      </c>
      <c r="C74" s="39">
        <f t="shared" ref="C74:E74" si="22">C58/(C56)</f>
        <v>0.2686571173986827</v>
      </c>
      <c r="D74" s="39">
        <f t="shared" si="22"/>
        <v>0.26865711739868264</v>
      </c>
      <c r="E74" s="39">
        <f t="shared" si="22"/>
        <v>0.26865711739868264</v>
      </c>
      <c r="F74" s="5"/>
      <c r="G74" s="30" t="s">
        <v>5</v>
      </c>
      <c r="H74" s="33"/>
      <c r="I74" s="33"/>
      <c r="J74" s="33"/>
      <c r="K74" s="33"/>
      <c r="M74" t="s">
        <v>100</v>
      </c>
      <c r="N74" s="39">
        <f>N64/N58</f>
        <v>0.17111340181497764</v>
      </c>
      <c r="O74" s="39">
        <f t="shared" ref="O74:Q74" si="23">O64/O58</f>
        <v>0.17114288920545659</v>
      </c>
      <c r="P74" s="39">
        <f t="shared" si="23"/>
        <v>0.1711699296123167</v>
      </c>
      <c r="Q74" s="39">
        <f t="shared" si="23"/>
        <v>0.17119444125366831</v>
      </c>
    </row>
    <row r="75" spans="1:39" s="32" customFormat="1" hidden="1" x14ac:dyDescent="0.2">
      <c r="A75" t="s">
        <v>100</v>
      </c>
      <c r="B75" s="39">
        <f>B65/B56</f>
        <v>0.16000023880632658</v>
      </c>
      <c r="C75" s="39">
        <f t="shared" ref="C75:E75" si="24">C65/C56</f>
        <v>0.16000023880632658</v>
      </c>
      <c r="D75" s="39">
        <f t="shared" si="24"/>
        <v>0.16000023880632655</v>
      </c>
      <c r="E75" s="39">
        <f t="shared" si="24"/>
        <v>0.16000023880632655</v>
      </c>
      <c r="F75" s="5"/>
      <c r="G75" s="5" t="s">
        <v>98</v>
      </c>
      <c r="H75" s="39">
        <f>H62/(H60)</f>
        <v>0.3494310185371346</v>
      </c>
      <c r="I75" s="39">
        <f t="shared" ref="I75:K75" si="25">I62/(I60)</f>
        <v>0.34906967126581595</v>
      </c>
      <c r="J75" s="39">
        <f t="shared" si="25"/>
        <v>0.3487044889734025</v>
      </c>
      <c r="K75" s="39">
        <f t="shared" si="25"/>
        <v>0.34833544868862887</v>
      </c>
      <c r="M75" s="5" t="s">
        <v>14</v>
      </c>
      <c r="N75" s="39">
        <f>N62/N58</f>
        <v>4.6805828740738159E-2</v>
      </c>
      <c r="O75" s="39">
        <f t="shared" ref="O75:Q75" si="26">O62/O58</f>
        <v>4.5682298756220797E-2</v>
      </c>
      <c r="P75" s="39">
        <f t="shared" si="26"/>
        <v>4.4583027509122436E-2</v>
      </c>
      <c r="Q75" s="39">
        <f t="shared" si="26"/>
        <v>4.3507532327611967E-2</v>
      </c>
    </row>
    <row r="76" spans="1:39" s="32" customFormat="1" hidden="1" x14ac:dyDescent="0.2">
      <c r="A76" s="5" t="s">
        <v>14</v>
      </c>
      <c r="B76" s="39">
        <f>B60/B56</f>
        <v>4.4776186233113781E-2</v>
      </c>
      <c r="C76" s="39">
        <f t="shared" ref="C76:E76" si="27">C60/C56</f>
        <v>4.3898221797170373E-2</v>
      </c>
      <c r="D76" s="39">
        <f t="shared" si="27"/>
        <v>4.3037472350167028E-2</v>
      </c>
      <c r="E76" s="39">
        <f t="shared" si="27"/>
        <v>4.2193600343301003E-2</v>
      </c>
      <c r="F76" s="5"/>
      <c r="G76" t="s">
        <v>100</v>
      </c>
      <c r="H76" s="39">
        <f>H66/H60</f>
        <v>0.20105352044714303</v>
      </c>
      <c r="I76" s="39">
        <f>I66/I60</f>
        <v>0.20067111400387733</v>
      </c>
      <c r="J76" s="39">
        <f t="shared" ref="J76:K76" si="28">J66/J60</f>
        <v>0.20028464903604778</v>
      </c>
      <c r="K76" s="39">
        <f t="shared" si="28"/>
        <v>0.19989410123363313</v>
      </c>
      <c r="M76" t="s">
        <v>99</v>
      </c>
      <c r="N76" s="39">
        <f>B62/N58</f>
        <v>0.22640959018775669</v>
      </c>
      <c r="O76" s="39">
        <f>C62/O58</f>
        <v>0.22539433730511174</v>
      </c>
      <c r="P76" s="39">
        <f>D62/P58</f>
        <v>0.22436999578284011</v>
      </c>
      <c r="Q76" s="39">
        <f>E62/Q58</f>
        <v>0.22333657219057332</v>
      </c>
    </row>
    <row r="77" spans="1:39" s="32" customFormat="1" hidden="1" x14ac:dyDescent="0.2">
      <c r="A77" t="s">
        <v>99</v>
      </c>
      <c r="B77" s="39">
        <f>B62/B56</f>
        <v>0.31044822454958887</v>
      </c>
      <c r="C77" s="39">
        <f t="shared" ref="C77:E77" si="29">C62/C56</f>
        <v>0.31044822454958887</v>
      </c>
      <c r="D77" s="39">
        <f t="shared" si="29"/>
        <v>0.31044822454958887</v>
      </c>
      <c r="E77" s="39">
        <f t="shared" si="29"/>
        <v>0.31044822454958887</v>
      </c>
      <c r="F77" s="5"/>
      <c r="G77" s="5" t="s">
        <v>14</v>
      </c>
      <c r="H77" s="39">
        <f>H64/H60</f>
        <v>5.2273915316257184E-2</v>
      </c>
      <c r="I77" s="39">
        <f t="shared" ref="I77:K77" si="30">I64/I60</f>
        <v>5.0410134918848409E-2</v>
      </c>
      <c r="J77" s="39">
        <f t="shared" si="30"/>
        <v>4.8611644378512849E-2</v>
      </c>
      <c r="K77" s="39">
        <f t="shared" si="30"/>
        <v>4.6876186893572556E-2</v>
      </c>
      <c r="M77" t="s">
        <v>101</v>
      </c>
      <c r="N77" s="39">
        <f>(N55+N57+N56)/N58</f>
        <v>3.5594199995863669E-2</v>
      </c>
      <c r="O77" s="39">
        <f>(O55+O57+O56)/O58</f>
        <v>3.6476784367321886E-2</v>
      </c>
      <c r="P77" s="39">
        <f>(P55+P57+P56)/P58</f>
        <v>3.7378980511674528E-2</v>
      </c>
      <c r="Q77" s="39">
        <f>(Q55+Q57+Q56)/Q58</f>
        <v>3.8301135174920557E-2</v>
      </c>
    </row>
    <row r="78" spans="1:39" hidden="1" x14ac:dyDescent="0.2">
      <c r="B78" s="31"/>
      <c r="C78" s="31"/>
      <c r="D78" s="31"/>
      <c r="E78" s="31"/>
      <c r="G78" s="35"/>
      <c r="H78" s="54"/>
      <c r="I78" s="54"/>
      <c r="J78" s="54"/>
      <c r="K78" s="54"/>
      <c r="M78" s="35"/>
      <c r="N78" s="54"/>
      <c r="O78" s="54"/>
      <c r="P78" s="54"/>
      <c r="Q78" s="54"/>
    </row>
    <row r="79" spans="1:39" s="38" customFormat="1" ht="15" hidden="1" x14ac:dyDescent="0.2">
      <c r="A79" s="49" t="s">
        <v>7</v>
      </c>
      <c r="B79" s="50"/>
      <c r="C79" s="5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
      <c r="AL79" s="5"/>
      <c r="AM79" s="5"/>
    </row>
    <row r="80" spans="1:39" hidden="1" x14ac:dyDescent="0.2">
      <c r="A80"/>
      <c r="B80"/>
      <c r="C80"/>
      <c r="D80"/>
      <c r="E80"/>
      <c r="F80"/>
      <c r="G80"/>
      <c r="H80"/>
      <c r="I80"/>
      <c r="J80"/>
      <c r="K80"/>
      <c r="L80"/>
      <c r="M80"/>
      <c r="N80"/>
      <c r="O80"/>
      <c r="P80"/>
      <c r="Q80"/>
      <c r="R80"/>
      <c r="S80"/>
      <c r="T80"/>
      <c r="U80"/>
      <c r="V80"/>
      <c r="W80"/>
      <c r="X80"/>
      <c r="Y80"/>
      <c r="Z80"/>
      <c r="AA80"/>
      <c r="AB80"/>
      <c r="AC80"/>
      <c r="AD80"/>
      <c r="AE80"/>
      <c r="AF80"/>
      <c r="AG80"/>
    </row>
    <row r="81" spans="1:33" ht="15" hidden="1" thickBot="1" x14ac:dyDescent="0.25">
      <c r="A81" s="16" t="s">
        <v>116</v>
      </c>
      <c r="B81" s="16"/>
      <c r="C81" s="16"/>
      <c r="D81" s="16"/>
      <c r="E81" s="16"/>
      <c r="F81" s="16"/>
      <c r="G81" s="16"/>
      <c r="H81" s="16"/>
      <c r="I81" s="16"/>
      <c r="J81" s="16"/>
      <c r="K81" s="16"/>
      <c r="L81" s="16"/>
      <c r="M81" s="16"/>
      <c r="N81"/>
      <c r="O81"/>
      <c r="P81"/>
      <c r="Q81"/>
      <c r="R81"/>
      <c r="S81"/>
      <c r="T81"/>
      <c r="U81"/>
      <c r="V81"/>
      <c r="W81"/>
      <c r="X81"/>
      <c r="Y81"/>
      <c r="Z81"/>
      <c r="AA81"/>
      <c r="AB81"/>
      <c r="AC81"/>
      <c r="AD81"/>
      <c r="AE81"/>
      <c r="AF81"/>
      <c r="AG81"/>
    </row>
    <row r="82" spans="1:33" ht="4" hidden="1" customHeight="1" thickBot="1" x14ac:dyDescent="0.25">
      <c r="A82" s="16"/>
      <c r="B82" s="1"/>
      <c r="C82" s="16"/>
      <c r="D82" s="16"/>
      <c r="E82" s="16"/>
      <c r="F82" s="1"/>
      <c r="G82" s="16"/>
      <c r="H82" s="1"/>
      <c r="I82" s="16"/>
      <c r="J82" s="16"/>
      <c r="K82" s="16"/>
      <c r="L82" s="1"/>
      <c r="M82" s="16"/>
      <c r="N82" s="1"/>
      <c r="O82" s="1"/>
      <c r="P82" s="1"/>
      <c r="Q82" s="1"/>
      <c r="R82" s="1"/>
      <c r="S82" s="1"/>
      <c r="T82" s="1"/>
      <c r="U82" s="1"/>
      <c r="V82" s="1"/>
      <c r="W82"/>
      <c r="X82"/>
      <c r="Y82"/>
      <c r="Z82"/>
      <c r="AA82"/>
      <c r="AB82"/>
      <c r="AC82"/>
      <c r="AD82"/>
      <c r="AE82"/>
      <c r="AF82"/>
      <c r="AG82"/>
    </row>
    <row r="83" spans="1:33" ht="4" hidden="1" customHeight="1" thickBot="1" x14ac:dyDescent="0.25">
      <c r="A83" s="72" t="s">
        <v>105</v>
      </c>
      <c r="B83" s="1"/>
      <c r="C83" s="177" t="s">
        <v>114</v>
      </c>
      <c r="D83" s="178"/>
      <c r="E83" s="179"/>
      <c r="F83"/>
      <c r="G83" s="72" t="s">
        <v>107</v>
      </c>
      <c r="H83"/>
      <c r="I83" s="177" t="s">
        <v>108</v>
      </c>
      <c r="J83" s="178"/>
      <c r="K83" s="179"/>
      <c r="L83"/>
      <c r="M83" s="72" t="s">
        <v>111</v>
      </c>
      <c r="N83"/>
      <c r="O83"/>
      <c r="P83"/>
      <c r="Q83"/>
      <c r="R83"/>
      <c r="S83"/>
      <c r="T83"/>
      <c r="U83"/>
      <c r="V83"/>
      <c r="W83"/>
      <c r="X83"/>
      <c r="Y83"/>
      <c r="Z83"/>
      <c r="AA83"/>
      <c r="AB83"/>
      <c r="AC83"/>
      <c r="AD83"/>
      <c r="AE83"/>
      <c r="AF83"/>
      <c r="AG83"/>
    </row>
    <row r="84" spans="1:33" ht="1" hidden="1" customHeight="1" x14ac:dyDescent="0.2">
      <c r="A84" s="74" t="s">
        <v>113</v>
      </c>
      <c r="B84"/>
      <c r="C84" s="174" t="s">
        <v>106</v>
      </c>
      <c r="D84" s="175"/>
      <c r="E84" s="176"/>
      <c r="F84"/>
      <c r="G84" s="74" t="s">
        <v>110</v>
      </c>
      <c r="H84"/>
      <c r="I84" s="174" t="s">
        <v>109</v>
      </c>
      <c r="J84" s="175"/>
      <c r="K84" s="176"/>
      <c r="L84"/>
      <c r="M84" s="74" t="s">
        <v>115</v>
      </c>
      <c r="N84"/>
      <c r="O84"/>
      <c r="P84"/>
      <c r="Q84"/>
      <c r="R84"/>
      <c r="S84"/>
      <c r="T84"/>
      <c r="U84"/>
      <c r="V84"/>
      <c r="W84"/>
      <c r="X84"/>
      <c r="Y84"/>
      <c r="Z84"/>
      <c r="AA84"/>
      <c r="AB84"/>
      <c r="AC84"/>
      <c r="AD84"/>
      <c r="AE84"/>
      <c r="AF84"/>
      <c r="AG84"/>
    </row>
    <row r="85" spans="1:33" ht="27" hidden="1" customHeight="1" thickBot="1" x14ac:dyDescent="0.25">
      <c r="A85" s="1"/>
      <c r="B85"/>
      <c r="C85"/>
      <c r="D85"/>
      <c r="E85"/>
      <c r="F85"/>
      <c r="G85"/>
      <c r="H85"/>
      <c r="I85"/>
      <c r="J85"/>
      <c r="K85"/>
      <c r="L85"/>
      <c r="M85"/>
      <c r="N85"/>
      <c r="O85"/>
      <c r="P85"/>
      <c r="Q85"/>
      <c r="R85"/>
      <c r="S85"/>
      <c r="T85"/>
      <c r="U85"/>
      <c r="V85"/>
      <c r="W85"/>
      <c r="X85"/>
      <c r="Y85"/>
      <c r="Z85"/>
      <c r="AA85"/>
      <c r="AB85"/>
      <c r="AC85"/>
      <c r="AD85"/>
      <c r="AE85"/>
      <c r="AF85"/>
      <c r="AG85"/>
    </row>
    <row r="86" spans="1:33" ht="12" hidden="1" customHeight="1" thickBot="1" x14ac:dyDescent="0.25">
      <c r="A86" s="73" t="s">
        <v>112</v>
      </c>
      <c r="B86"/>
      <c r="C86" s="182" t="s">
        <v>112</v>
      </c>
      <c r="D86" s="183"/>
      <c r="E86" s="184"/>
      <c r="F86"/>
      <c r="G86" s="73" t="s">
        <v>112</v>
      </c>
      <c r="H86"/>
      <c r="I86" s="182" t="s">
        <v>112</v>
      </c>
      <c r="J86" s="183"/>
      <c r="K86" s="184"/>
      <c r="L86"/>
      <c r="M86" s="73" t="s">
        <v>112</v>
      </c>
      <c r="N86"/>
      <c r="O86"/>
      <c r="P86"/>
      <c r="Q86"/>
      <c r="R86"/>
      <c r="S86"/>
      <c r="T86"/>
      <c r="U86"/>
      <c r="V86"/>
      <c r="W86"/>
      <c r="X86"/>
      <c r="Y86"/>
      <c r="Z86"/>
      <c r="AA86"/>
      <c r="AB86"/>
      <c r="AC86"/>
      <c r="AD86"/>
      <c r="AE86"/>
      <c r="AF86"/>
      <c r="AG86"/>
    </row>
    <row r="87" spans="1:33" ht="20" hidden="1" customHeight="1" x14ac:dyDescent="0.2">
      <c r="A87" s="75" t="s">
        <v>117</v>
      </c>
      <c r="B87"/>
      <c r="C87" s="185" t="s">
        <v>118</v>
      </c>
      <c r="D87" s="186"/>
      <c r="E87" s="187"/>
      <c r="F87"/>
      <c r="G87" s="75" t="s">
        <v>120</v>
      </c>
      <c r="H87"/>
      <c r="I87" s="185" t="s">
        <v>119</v>
      </c>
      <c r="J87" s="186"/>
      <c r="K87" s="187"/>
      <c r="L87"/>
      <c r="M87" s="75" t="s">
        <v>121</v>
      </c>
      <c r="N87"/>
      <c r="O87"/>
      <c r="P87"/>
      <c r="Q87"/>
      <c r="R87"/>
      <c r="S87"/>
      <c r="T87"/>
      <c r="U87"/>
      <c r="V87"/>
      <c r="W87"/>
      <c r="X87"/>
      <c r="Y87"/>
      <c r="Z87"/>
      <c r="AA87"/>
      <c r="AB87"/>
      <c r="AC87"/>
      <c r="AD87"/>
      <c r="AE87"/>
      <c r="AF87"/>
      <c r="AG87"/>
    </row>
    <row r="88" spans="1:33" ht="74" customHeight="1" x14ac:dyDescent="0.2">
      <c r="A88" s="192" t="s">
        <v>206</v>
      </c>
      <c r="B88" s="192"/>
      <c r="C88" s="192"/>
      <c r="D88" s="192"/>
      <c r="E88" s="192"/>
      <c r="F88" s="192"/>
      <c r="G88" s="192"/>
      <c r="H88" s="192"/>
      <c r="I88" s="192"/>
      <c r="J88" s="192"/>
      <c r="K88" s="192"/>
      <c r="L88" s="192"/>
      <c r="M88" s="192"/>
      <c r="N88" s="192"/>
      <c r="O88" s="192"/>
      <c r="P88" s="192"/>
      <c r="Q88" s="192"/>
      <c r="R88"/>
      <c r="S88"/>
      <c r="T88"/>
      <c r="U88"/>
      <c r="V88"/>
      <c r="W88"/>
      <c r="X88"/>
      <c r="Y88"/>
      <c r="Z88"/>
      <c r="AA88"/>
      <c r="AB88"/>
      <c r="AC88"/>
      <c r="AD88"/>
      <c r="AE88"/>
      <c r="AF88"/>
      <c r="AG88"/>
    </row>
    <row r="89" spans="1:33" ht="25" customHeight="1" thickBot="1" x14ac:dyDescent="0.25">
      <c r="A89" s="16" t="s">
        <v>131</v>
      </c>
      <c r="B89" s="16"/>
      <c r="C89" s="16"/>
      <c r="D89" s="16"/>
      <c r="E89" s="16"/>
      <c r="F89" s="16"/>
      <c r="G89" s="16"/>
      <c r="H89" s="16"/>
      <c r="I89" s="16"/>
      <c r="J89" s="16"/>
      <c r="K89" s="16"/>
      <c r="L89" s="16"/>
      <c r="M89" s="16"/>
      <c r="N89" s="160"/>
      <c r="O89" s="160"/>
      <c r="P89" s="160"/>
      <c r="Q89" s="160"/>
      <c r="R89"/>
      <c r="S89"/>
      <c r="T89"/>
      <c r="U89"/>
      <c r="V89"/>
      <c r="W89"/>
      <c r="X89"/>
      <c r="Y89"/>
      <c r="Z89"/>
      <c r="AA89"/>
      <c r="AB89"/>
      <c r="AC89"/>
      <c r="AD89"/>
      <c r="AE89"/>
      <c r="AF89"/>
      <c r="AG89"/>
    </row>
    <row r="90" spans="1:33" x14ac:dyDescent="0.2">
      <c r="A90" s="79" t="s">
        <v>122</v>
      </c>
      <c r="B90" s="30">
        <v>2024</v>
      </c>
      <c r="C90" s="30">
        <v>2025</v>
      </c>
      <c r="D90" s="30">
        <v>2026</v>
      </c>
      <c r="E90" s="30">
        <v>2027</v>
      </c>
      <c r="G90"/>
      <c r="H90"/>
      <c r="I90"/>
      <c r="J90"/>
      <c r="K90"/>
      <c r="L90"/>
      <c r="M90"/>
      <c r="N90"/>
      <c r="O90"/>
      <c r="P90"/>
      <c r="Q90"/>
      <c r="R90"/>
      <c r="S90"/>
      <c r="T90"/>
      <c r="U90"/>
      <c r="V90"/>
      <c r="W90"/>
      <c r="X90"/>
      <c r="Y90"/>
      <c r="Z90"/>
      <c r="AA90"/>
      <c r="AB90"/>
      <c r="AC90"/>
      <c r="AD90"/>
      <c r="AE90"/>
      <c r="AF90"/>
      <c r="AG90"/>
    </row>
    <row r="91" spans="1:33" ht="15" thickBot="1" x14ac:dyDescent="0.25">
      <c r="A91" s="155" t="s">
        <v>185</v>
      </c>
      <c r="B91" s="20">
        <v>0</v>
      </c>
      <c r="C91" s="42">
        <f>I93</f>
        <v>0.03</v>
      </c>
      <c r="D91" s="42">
        <f t="shared" ref="D91:E91" si="31">J93</f>
        <v>3.5000000000000003E-2</v>
      </c>
      <c r="E91" s="42">
        <f t="shared" si="31"/>
        <v>0.04</v>
      </c>
      <c r="G91" s="156" t="s">
        <v>197</v>
      </c>
      <c r="H91" s="156"/>
      <c r="I91" s="156"/>
      <c r="J91" s="156"/>
      <c r="K91" s="156"/>
      <c r="L91"/>
      <c r="M91" s="137" t="s">
        <v>201</v>
      </c>
      <c r="N91" s="137"/>
      <c r="O91" s="137"/>
      <c r="P91" s="137"/>
      <c r="Q91" s="137"/>
      <c r="R91"/>
      <c r="S91" s="150"/>
      <c r="T91" s="150"/>
      <c r="U91" s="150"/>
      <c r="V91"/>
      <c r="W91"/>
      <c r="X91"/>
      <c r="Y91"/>
      <c r="Z91"/>
      <c r="AA91"/>
      <c r="AB91"/>
      <c r="AC91"/>
      <c r="AD91"/>
      <c r="AE91"/>
      <c r="AF91"/>
      <c r="AG91"/>
    </row>
    <row r="92" spans="1:33" ht="14" customHeight="1" x14ac:dyDescent="0.2">
      <c r="A92" s="132" t="s">
        <v>150</v>
      </c>
      <c r="B92" s="76">
        <v>0</v>
      </c>
      <c r="C92" s="89">
        <f>I104</f>
        <v>0.05</v>
      </c>
      <c r="D92" s="89">
        <f t="shared" ref="D92:E92" si="32">J104</f>
        <v>7.4999999999999997E-2</v>
      </c>
      <c r="E92" s="89">
        <f t="shared" si="32"/>
        <v>0.1</v>
      </c>
      <c r="F92"/>
      <c r="H92" s="85" t="s">
        <v>196</v>
      </c>
      <c r="I92" s="85">
        <v>2025</v>
      </c>
      <c r="J92" s="85">
        <v>2026</v>
      </c>
      <c r="K92" s="85">
        <v>2027</v>
      </c>
      <c r="L92"/>
      <c r="N92" s="85" t="s">
        <v>196</v>
      </c>
      <c r="O92" s="85">
        <v>2025</v>
      </c>
      <c r="P92" s="85">
        <v>2026</v>
      </c>
      <c r="Q92" s="85">
        <v>2027</v>
      </c>
      <c r="R92"/>
      <c r="S92" s="151"/>
      <c r="T92" s="152"/>
      <c r="U92" s="151"/>
      <c r="V92"/>
      <c r="W92"/>
      <c r="X92"/>
      <c r="Y92"/>
      <c r="Z92"/>
      <c r="AA92"/>
      <c r="AB92"/>
      <c r="AC92"/>
      <c r="AD92"/>
      <c r="AE92"/>
      <c r="AF92"/>
      <c r="AG92"/>
    </row>
    <row r="93" spans="1:33" x14ac:dyDescent="0.2">
      <c r="A93" s="134" t="s">
        <v>125</v>
      </c>
      <c r="B93" s="78">
        <v>0</v>
      </c>
      <c r="C93" s="78">
        <f>I115</f>
        <v>0</v>
      </c>
      <c r="D93" s="78">
        <f t="shared" ref="D93:E93" si="33">J115</f>
        <v>5000</v>
      </c>
      <c r="E93" s="78">
        <f t="shared" si="33"/>
        <v>10000</v>
      </c>
      <c r="F93"/>
      <c r="I93" s="5">
        <v>0.03</v>
      </c>
      <c r="J93" s="5">
        <v>3.5000000000000003E-2</v>
      </c>
      <c r="K93" s="5">
        <v>0.04</v>
      </c>
      <c r="L93"/>
      <c r="O93" s="149">
        <v>0</v>
      </c>
      <c r="P93" s="149">
        <v>180</v>
      </c>
      <c r="Q93" s="149">
        <v>360</v>
      </c>
      <c r="R93"/>
      <c r="S93" s="151"/>
      <c r="T93" s="151"/>
      <c r="U93" s="151"/>
      <c r="V93"/>
      <c r="W93"/>
      <c r="X93"/>
      <c r="Y93"/>
      <c r="Z93"/>
      <c r="AA93"/>
      <c r="AB93"/>
      <c r="AC93"/>
      <c r="AD93"/>
      <c r="AE93"/>
      <c r="AF93"/>
      <c r="AG93"/>
    </row>
    <row r="94" spans="1:33" x14ac:dyDescent="0.2">
      <c r="A94" s="136" t="s">
        <v>148</v>
      </c>
      <c r="B94" s="78">
        <v>0</v>
      </c>
      <c r="C94" s="78">
        <f>O93</f>
        <v>0</v>
      </c>
      <c r="D94" s="78">
        <f t="shared" ref="D94:E94" si="34">P93</f>
        <v>180</v>
      </c>
      <c r="E94" s="78">
        <f t="shared" si="34"/>
        <v>360</v>
      </c>
      <c r="F94"/>
      <c r="L94"/>
      <c r="R94"/>
      <c r="S94" s="151"/>
      <c r="T94" s="151"/>
      <c r="U94" s="151"/>
      <c r="V94"/>
      <c r="W94"/>
      <c r="X94"/>
      <c r="Y94"/>
      <c r="Z94"/>
      <c r="AA94"/>
      <c r="AB94"/>
      <c r="AC94"/>
      <c r="AD94"/>
      <c r="AE94"/>
      <c r="AF94"/>
      <c r="AG94"/>
    </row>
    <row r="95" spans="1:33" x14ac:dyDescent="0.2">
      <c r="A95" t="s">
        <v>124</v>
      </c>
      <c r="B95" s="76">
        <v>0</v>
      </c>
      <c r="C95" s="76">
        <v>-0.3</v>
      </c>
      <c r="D95" s="76">
        <v>-0.7</v>
      </c>
      <c r="E95" s="76">
        <v>-1</v>
      </c>
      <c r="F95"/>
      <c r="G95" s="48" t="s">
        <v>198</v>
      </c>
      <c r="H95" s="123" t="s">
        <v>193</v>
      </c>
      <c r="I95" s="121">
        <v>0.03</v>
      </c>
      <c r="J95" s="122">
        <v>3.5000000000000003E-2</v>
      </c>
      <c r="K95" s="121">
        <v>0.04</v>
      </c>
      <c r="L95"/>
      <c r="M95" s="48"/>
      <c r="N95" s="123" t="s">
        <v>193</v>
      </c>
      <c r="O95" s="145">
        <v>0</v>
      </c>
      <c r="P95" s="145">
        <v>180</v>
      </c>
      <c r="Q95" s="145">
        <v>360</v>
      </c>
      <c r="R95"/>
      <c r="S95"/>
      <c r="T95"/>
      <c r="U95"/>
      <c r="V95"/>
      <c r="W95"/>
      <c r="X95"/>
      <c r="Y95"/>
      <c r="Z95"/>
      <c r="AA95"/>
      <c r="AB95"/>
      <c r="AC95"/>
      <c r="AD95"/>
      <c r="AE95"/>
      <c r="AF95"/>
      <c r="AG95"/>
    </row>
    <row r="96" spans="1:33" x14ac:dyDescent="0.2">
      <c r="A96" t="s">
        <v>137</v>
      </c>
      <c r="B96" s="82">
        <f>N64/(SUM(N21:N25,N28:N30))</f>
        <v>37.113460476053319</v>
      </c>
      <c r="C96" s="82">
        <v>33</v>
      </c>
      <c r="D96" s="82">
        <v>29</v>
      </c>
      <c r="E96" s="82">
        <v>25</v>
      </c>
      <c r="F96"/>
      <c r="G96" s="48"/>
      <c r="H96" s="124" t="s">
        <v>194</v>
      </c>
      <c r="I96" s="121">
        <v>0.01</v>
      </c>
      <c r="J96" s="122">
        <v>1.4999999999999999E-2</v>
      </c>
      <c r="K96" s="121">
        <v>0.02</v>
      </c>
      <c r="L96"/>
      <c r="M96" s="48"/>
      <c r="N96" s="124" t="s">
        <v>194</v>
      </c>
      <c r="O96" s="143">
        <v>0</v>
      </c>
      <c r="P96" s="143">
        <v>120</v>
      </c>
      <c r="Q96" s="143">
        <v>200</v>
      </c>
      <c r="R96"/>
      <c r="S96"/>
      <c r="T96"/>
      <c r="U96"/>
      <c r="V96"/>
      <c r="W96"/>
      <c r="X96"/>
      <c r="Y96"/>
      <c r="Z96"/>
      <c r="AA96"/>
      <c r="AB96"/>
      <c r="AC96"/>
      <c r="AD96"/>
      <c r="AE96"/>
      <c r="AF96"/>
      <c r="AG96"/>
    </row>
    <row r="97" spans="1:33" x14ac:dyDescent="0.2">
      <c r="A97" t="s">
        <v>140</v>
      </c>
      <c r="B97" s="82">
        <f>'Input Data'!B37</f>
        <v>800000</v>
      </c>
      <c r="C97" s="82">
        <v>750000</v>
      </c>
      <c r="D97" s="82">
        <v>500000</v>
      </c>
      <c r="E97" s="82">
        <v>60000</v>
      </c>
      <c r="F97"/>
      <c r="G97" s="48"/>
      <c r="H97" s="125" t="s">
        <v>195</v>
      </c>
      <c r="I97" s="121">
        <v>0.04</v>
      </c>
      <c r="J97" s="128">
        <v>4.4999999999999998E-2</v>
      </c>
      <c r="K97" s="121">
        <v>0.05</v>
      </c>
      <c r="L97"/>
      <c r="M97" s="48"/>
      <c r="N97" s="125" t="s">
        <v>195</v>
      </c>
      <c r="O97" s="143">
        <v>0</v>
      </c>
      <c r="P97" s="144">
        <v>220</v>
      </c>
      <c r="Q97" s="143">
        <v>450</v>
      </c>
      <c r="R97"/>
      <c r="S97"/>
      <c r="T97"/>
      <c r="U97"/>
      <c r="V97"/>
      <c r="W97"/>
      <c r="X97"/>
      <c r="Y97"/>
      <c r="Z97"/>
      <c r="AA97"/>
      <c r="AB97"/>
      <c r="AC97"/>
      <c r="AD97"/>
      <c r="AE97"/>
      <c r="AF97"/>
      <c r="AG97"/>
    </row>
    <row r="98" spans="1:33" x14ac:dyDescent="0.2">
      <c r="A98" s="79" t="s">
        <v>127</v>
      </c>
      <c r="B98" s="30">
        <v>2024</v>
      </c>
      <c r="C98" s="30">
        <v>2025</v>
      </c>
      <c r="D98" s="30">
        <v>2026</v>
      </c>
      <c r="E98" s="30">
        <v>2027</v>
      </c>
      <c r="F98"/>
      <c r="G98"/>
      <c r="H98"/>
      <c r="I98"/>
      <c r="J98"/>
      <c r="K98"/>
      <c r="L98"/>
      <c r="M98"/>
      <c r="N98"/>
      <c r="O98"/>
      <c r="P98"/>
      <c r="Q98"/>
      <c r="R98"/>
      <c r="S98"/>
      <c r="T98"/>
      <c r="U98"/>
      <c r="V98"/>
      <c r="W98"/>
      <c r="X98"/>
      <c r="Y98"/>
      <c r="Z98"/>
      <c r="AA98"/>
      <c r="AB98"/>
      <c r="AC98"/>
      <c r="AD98"/>
      <c r="AE98"/>
      <c r="AF98"/>
      <c r="AG98"/>
    </row>
    <row r="99" spans="1:33" x14ac:dyDescent="0.2">
      <c r="A99" s="153" t="s">
        <v>126</v>
      </c>
      <c r="B99" s="78">
        <v>0</v>
      </c>
      <c r="C99" s="78">
        <f>O115</f>
        <v>-4</v>
      </c>
      <c r="D99" s="78">
        <f t="shared" ref="D99:E99" si="35">P115</f>
        <v>-12</v>
      </c>
      <c r="E99" s="78">
        <f t="shared" si="35"/>
        <v>0</v>
      </c>
      <c r="F99"/>
      <c r="G99"/>
      <c r="H99"/>
      <c r="I99"/>
      <c r="J99"/>
      <c r="K99"/>
      <c r="L99"/>
      <c r="M99"/>
      <c r="N99"/>
      <c r="O99"/>
      <c r="P99"/>
      <c r="Q99"/>
      <c r="R99"/>
      <c r="S99"/>
      <c r="T99"/>
      <c r="U99"/>
      <c r="V99"/>
      <c r="W99"/>
      <c r="X99"/>
      <c r="Y99"/>
      <c r="Z99"/>
      <c r="AA99"/>
      <c r="AB99"/>
      <c r="AC99"/>
      <c r="AD99"/>
      <c r="AE99"/>
      <c r="AF99"/>
      <c r="AG99"/>
    </row>
    <row r="100" spans="1:33" x14ac:dyDescent="0.2">
      <c r="A100" s="131" t="s">
        <v>128</v>
      </c>
      <c r="B100">
        <v>0</v>
      </c>
      <c r="C100">
        <f>I125</f>
        <v>0</v>
      </c>
      <c r="D100">
        <f t="shared" ref="D100:E100" si="36">J125</f>
        <v>-5</v>
      </c>
      <c r="E100">
        <f t="shared" si="36"/>
        <v>-10</v>
      </c>
      <c r="F100"/>
      <c r="G100"/>
      <c r="H100"/>
      <c r="I100"/>
      <c r="J100"/>
      <c r="K100"/>
      <c r="L100"/>
      <c r="M100"/>
      <c r="N100"/>
      <c r="O100"/>
      <c r="P100"/>
      <c r="Q100"/>
      <c r="R100"/>
      <c r="S100"/>
      <c r="T100"/>
      <c r="U100"/>
      <c r="V100"/>
      <c r="W100"/>
      <c r="X100"/>
      <c r="Y100"/>
      <c r="Z100"/>
      <c r="AA100"/>
      <c r="AB100"/>
      <c r="AC100"/>
      <c r="AD100"/>
      <c r="AE100"/>
      <c r="AF100"/>
      <c r="AG100"/>
    </row>
    <row r="101" spans="1:33" x14ac:dyDescent="0.2">
      <c r="A101" s="154" t="s">
        <v>129</v>
      </c>
      <c r="B101">
        <v>0</v>
      </c>
      <c r="C101">
        <f>O125</f>
        <v>10</v>
      </c>
      <c r="D101">
        <f t="shared" ref="D101:E101" si="37">P125</f>
        <v>10</v>
      </c>
      <c r="E101">
        <f t="shared" si="37"/>
        <v>12</v>
      </c>
      <c r="F101"/>
      <c r="G101" s="1"/>
      <c r="H101" s="1"/>
      <c r="I101" s="1"/>
      <c r="J101" s="1"/>
      <c r="K101" s="1"/>
      <c r="L101"/>
      <c r="M101"/>
      <c r="N101"/>
      <c r="O101"/>
      <c r="P101"/>
      <c r="Q101"/>
      <c r="R101"/>
      <c r="S101"/>
      <c r="T101"/>
      <c r="U101"/>
      <c r="V101"/>
      <c r="W101"/>
      <c r="X101"/>
      <c r="Y101"/>
      <c r="Z101"/>
      <c r="AA101"/>
      <c r="AB101"/>
      <c r="AC101"/>
      <c r="AD101"/>
      <c r="AE101"/>
      <c r="AF101"/>
      <c r="AG101"/>
    </row>
    <row r="102" spans="1:33" ht="15" thickBot="1" x14ac:dyDescent="0.25">
      <c r="A102" s="79" t="s">
        <v>133</v>
      </c>
      <c r="B102" s="30">
        <v>2024</v>
      </c>
      <c r="C102" s="30">
        <v>2025</v>
      </c>
      <c r="D102" s="30">
        <v>2026</v>
      </c>
      <c r="E102" s="30">
        <v>2027</v>
      </c>
      <c r="F102"/>
      <c r="G102" s="133" t="s">
        <v>199</v>
      </c>
      <c r="H102" s="133"/>
      <c r="I102" s="133"/>
      <c r="J102" s="133"/>
      <c r="K102" s="133"/>
      <c r="L102"/>
      <c r="M102" s="139" t="s">
        <v>202</v>
      </c>
      <c r="N102" s="139"/>
      <c r="O102" s="139"/>
      <c r="P102" s="139"/>
      <c r="Q102" s="139"/>
      <c r="R102"/>
      <c r="S102"/>
      <c r="T102"/>
      <c r="U102"/>
      <c r="V102"/>
      <c r="W102"/>
      <c r="X102"/>
      <c r="Y102"/>
      <c r="Z102"/>
      <c r="AA102"/>
      <c r="AB102"/>
      <c r="AC102"/>
      <c r="AD102"/>
      <c r="AE102"/>
      <c r="AF102"/>
      <c r="AG102"/>
    </row>
    <row r="103" spans="1:33" x14ac:dyDescent="0.2">
      <c r="A103" t="s">
        <v>126</v>
      </c>
      <c r="B103" s="80">
        <f>N41</f>
        <v>53750</v>
      </c>
      <c r="C103" s="80">
        <v>53750</v>
      </c>
      <c r="D103" s="80">
        <v>56000</v>
      </c>
      <c r="E103" s="80">
        <v>60000</v>
      </c>
      <c r="F103"/>
      <c r="H103" s="85" t="s">
        <v>196</v>
      </c>
      <c r="I103" s="85">
        <v>2025</v>
      </c>
      <c r="J103" s="85">
        <v>2026</v>
      </c>
      <c r="K103" s="85">
        <v>2027</v>
      </c>
      <c r="L103"/>
      <c r="N103" s="85" t="s">
        <v>196</v>
      </c>
      <c r="O103" s="85">
        <v>2025</v>
      </c>
      <c r="P103" s="85">
        <v>2026</v>
      </c>
      <c r="Q103" s="85">
        <v>2027</v>
      </c>
      <c r="R103"/>
      <c r="S103"/>
      <c r="T103"/>
      <c r="U103"/>
      <c r="V103"/>
      <c r="W103"/>
      <c r="X103"/>
      <c r="Y103"/>
      <c r="Z103"/>
      <c r="AA103"/>
      <c r="AB103"/>
      <c r="AC103"/>
      <c r="AD103"/>
      <c r="AE103"/>
      <c r="AF103"/>
      <c r="AG103"/>
    </row>
    <row r="104" spans="1:33" x14ac:dyDescent="0.2">
      <c r="A104" t="s">
        <v>128</v>
      </c>
      <c r="B104" s="80">
        <f>N44</f>
        <v>52979.354838709674</v>
      </c>
      <c r="C104" s="80">
        <v>52979.354838709674</v>
      </c>
      <c r="D104" s="80">
        <v>55000</v>
      </c>
      <c r="E104" s="80">
        <v>59000</v>
      </c>
      <c r="F104"/>
      <c r="I104" s="5">
        <v>0.05</v>
      </c>
      <c r="J104" s="5">
        <v>7.4999999999999997E-2</v>
      </c>
      <c r="K104" s="5">
        <v>0.1</v>
      </c>
      <c r="L104"/>
      <c r="O104" s="5">
        <v>0.15</v>
      </c>
      <c r="P104" s="5">
        <v>0.18</v>
      </c>
      <c r="Q104" s="5">
        <v>0.21</v>
      </c>
      <c r="R104"/>
      <c r="S104"/>
      <c r="T104"/>
      <c r="U104"/>
      <c r="V104"/>
      <c r="W104"/>
      <c r="X104"/>
      <c r="Y104"/>
      <c r="Z104"/>
      <c r="AA104"/>
      <c r="AB104"/>
      <c r="AC104"/>
      <c r="AD104"/>
      <c r="AE104"/>
      <c r="AF104"/>
      <c r="AG104"/>
    </row>
    <row r="105" spans="1:33" x14ac:dyDescent="0.2">
      <c r="A105" t="s">
        <v>129</v>
      </c>
      <c r="B105" s="80">
        <f>N43</f>
        <v>108625</v>
      </c>
      <c r="C105" s="80">
        <v>108625</v>
      </c>
      <c r="D105" s="80">
        <v>110000</v>
      </c>
      <c r="E105" s="80">
        <v>115000</v>
      </c>
      <c r="F105"/>
      <c r="L105"/>
      <c r="R105"/>
      <c r="S105"/>
      <c r="T105"/>
      <c r="U105"/>
      <c r="V105"/>
      <c r="W105"/>
      <c r="X105"/>
      <c r="Y105"/>
      <c r="Z105"/>
      <c r="AA105"/>
      <c r="AB105"/>
      <c r="AC105"/>
      <c r="AD105"/>
      <c r="AE105"/>
      <c r="AF105"/>
      <c r="AG105"/>
    </row>
    <row r="106" spans="1:33" x14ac:dyDescent="0.2">
      <c r="A106" s="79" t="s">
        <v>139</v>
      </c>
      <c r="B106"/>
      <c r="C106"/>
      <c r="D106"/>
      <c r="E106"/>
      <c r="F106"/>
      <c r="G106" s="48"/>
      <c r="H106" s="123" t="s">
        <v>193</v>
      </c>
      <c r="I106" s="121">
        <v>0.05</v>
      </c>
      <c r="J106" s="122">
        <v>7.4999999999999997E-2</v>
      </c>
      <c r="K106" s="121">
        <v>0.1</v>
      </c>
      <c r="L106"/>
      <c r="M106" s="48"/>
      <c r="N106" s="123" t="s">
        <v>193</v>
      </c>
      <c r="O106" s="146">
        <v>0.15</v>
      </c>
      <c r="P106" s="147">
        <v>0.18</v>
      </c>
      <c r="Q106" s="146">
        <v>0.21</v>
      </c>
      <c r="R106"/>
      <c r="S106"/>
      <c r="T106"/>
      <c r="U106"/>
      <c r="V106"/>
      <c r="W106"/>
      <c r="X106"/>
      <c r="Y106"/>
      <c r="Z106"/>
      <c r="AA106"/>
      <c r="AB106"/>
      <c r="AC106"/>
      <c r="AD106"/>
      <c r="AE106"/>
      <c r="AF106"/>
      <c r="AG106"/>
    </row>
    <row r="107" spans="1:33" x14ac:dyDescent="0.2">
      <c r="A107" t="s">
        <v>144</v>
      </c>
      <c r="B107" s="82">
        <v>0</v>
      </c>
      <c r="C107" s="82">
        <v>750000</v>
      </c>
      <c r="D107" s="82">
        <v>2000000</v>
      </c>
      <c r="E107" s="82">
        <v>3000000</v>
      </c>
      <c r="F107"/>
      <c r="G107" s="48"/>
      <c r="H107" s="124" t="s">
        <v>194</v>
      </c>
      <c r="I107" s="121">
        <v>0.01</v>
      </c>
      <c r="J107" s="122">
        <v>0.03</v>
      </c>
      <c r="K107" s="121">
        <v>0.05</v>
      </c>
      <c r="L107"/>
      <c r="M107" s="48"/>
      <c r="N107" s="124" t="s">
        <v>194</v>
      </c>
      <c r="O107" s="146">
        <v>0.2</v>
      </c>
      <c r="P107" s="148">
        <v>0.25</v>
      </c>
      <c r="Q107" s="146">
        <v>0.3</v>
      </c>
      <c r="R107"/>
      <c r="S107"/>
      <c r="T107"/>
      <c r="U107"/>
      <c r="V107"/>
      <c r="W107"/>
      <c r="X107"/>
      <c r="Y107"/>
      <c r="Z107"/>
      <c r="AA107"/>
      <c r="AB107"/>
      <c r="AC107"/>
      <c r="AD107"/>
      <c r="AE107"/>
      <c r="AF107"/>
      <c r="AG107"/>
    </row>
    <row r="108" spans="1:33" x14ac:dyDescent="0.2">
      <c r="A108" t="s">
        <v>169</v>
      </c>
      <c r="B108" s="71">
        <f>N61/SUM(N35:N39)</f>
        <v>1342.9752066115702</v>
      </c>
      <c r="C108" s="82">
        <v>1400</v>
      </c>
      <c r="D108" s="82">
        <v>1500</v>
      </c>
      <c r="E108" s="63">
        <f>'Input Data'!F52</f>
        <v>1623.3766233766235</v>
      </c>
      <c r="G108" s="48"/>
      <c r="H108" s="125" t="s">
        <v>195</v>
      </c>
      <c r="I108" s="140">
        <v>7.0000000000000007E-2</v>
      </c>
      <c r="J108" s="128">
        <v>0.09</v>
      </c>
      <c r="K108" s="121">
        <v>0.12</v>
      </c>
      <c r="L108"/>
      <c r="M108" s="48"/>
      <c r="N108" s="125" t="s">
        <v>195</v>
      </c>
      <c r="O108" s="146">
        <v>0.1</v>
      </c>
      <c r="P108" s="147">
        <v>0.13</v>
      </c>
      <c r="Q108" s="146">
        <v>0.17</v>
      </c>
      <c r="R108"/>
      <c r="S108"/>
      <c r="T108"/>
      <c r="U108"/>
      <c r="V108"/>
      <c r="W108"/>
      <c r="X108"/>
      <c r="Y108"/>
      <c r="Z108"/>
      <c r="AA108"/>
      <c r="AB108"/>
      <c r="AC108"/>
      <c r="AD108"/>
      <c r="AE108"/>
      <c r="AF108"/>
      <c r="AG108"/>
    </row>
    <row r="109" spans="1:33" x14ac:dyDescent="0.2">
      <c r="A109" s="138" t="s">
        <v>173</v>
      </c>
      <c r="B109" s="76">
        <v>0</v>
      </c>
      <c r="C109" s="76">
        <f>O104</f>
        <v>0.15</v>
      </c>
      <c r="D109" s="76">
        <f t="shared" ref="D109:E109" si="38">P104</f>
        <v>0.18</v>
      </c>
      <c r="E109" s="76">
        <f t="shared" si="38"/>
        <v>0.21</v>
      </c>
      <c r="F109" s="84"/>
      <c r="G109"/>
      <c r="H109"/>
      <c r="I109"/>
      <c r="J109"/>
      <c r="K109"/>
      <c r="L109"/>
      <c r="M109"/>
      <c r="N109"/>
      <c r="O109"/>
      <c r="P109"/>
      <c r="Q109"/>
      <c r="R109"/>
      <c r="S109"/>
      <c r="T109"/>
      <c r="U109"/>
      <c r="V109"/>
      <c r="W109"/>
      <c r="X109"/>
      <c r="Y109"/>
      <c r="Z109"/>
      <c r="AA109"/>
      <c r="AB109"/>
      <c r="AC109"/>
      <c r="AD109"/>
      <c r="AE109"/>
      <c r="AF109"/>
      <c r="AG109"/>
    </row>
    <row r="110" spans="1:33" x14ac:dyDescent="0.2">
      <c r="B110" s="82"/>
      <c r="C110" s="82"/>
      <c r="D110" s="82"/>
      <c r="E110" s="82"/>
      <c r="F110" s="83"/>
      <c r="G110"/>
      <c r="H110"/>
      <c r="I110"/>
      <c r="J110"/>
      <c r="K110"/>
      <c r="L110"/>
      <c r="M110"/>
      <c r="N110"/>
      <c r="O110"/>
      <c r="P110"/>
      <c r="Q110"/>
      <c r="R110"/>
      <c r="S110"/>
      <c r="T110"/>
      <c r="U110"/>
      <c r="V110"/>
      <c r="W110"/>
      <c r="X110"/>
      <c r="Y110"/>
      <c r="Z110"/>
      <c r="AA110"/>
      <c r="AB110"/>
      <c r="AC110"/>
      <c r="AD110"/>
      <c r="AE110"/>
      <c r="AF110"/>
      <c r="AG110"/>
    </row>
    <row r="111" spans="1:33" x14ac:dyDescent="0.2">
      <c r="B111"/>
      <c r="C111"/>
      <c r="D111"/>
      <c r="E111"/>
      <c r="F111"/>
      <c r="G111"/>
      <c r="H111"/>
      <c r="I111"/>
      <c r="J111"/>
      <c r="K111"/>
      <c r="L111"/>
      <c r="M111"/>
      <c r="N111"/>
      <c r="O111"/>
      <c r="P111"/>
      <c r="Q111"/>
      <c r="U111"/>
      <c r="V111"/>
      <c r="W111"/>
      <c r="X111"/>
      <c r="Y111"/>
      <c r="Z111"/>
      <c r="AA111"/>
      <c r="AB111"/>
      <c r="AC111"/>
      <c r="AD111"/>
      <c r="AE111"/>
      <c r="AF111"/>
      <c r="AG111"/>
    </row>
    <row r="112" spans="1:33" ht="15" thickBot="1" x14ac:dyDescent="0.25">
      <c r="A112" s="16" t="s">
        <v>52</v>
      </c>
      <c r="B112" s="16"/>
      <c r="C112" s="16"/>
      <c r="D112" s="16"/>
      <c r="E112" s="16"/>
    </row>
    <row r="113" spans="1:33" ht="15" thickBot="1" x14ac:dyDescent="0.25">
      <c r="B113" s="85">
        <v>2024</v>
      </c>
      <c r="C113" s="85">
        <v>2025</v>
      </c>
      <c r="D113" s="85">
        <v>2026</v>
      </c>
      <c r="E113" s="85">
        <v>2027</v>
      </c>
      <c r="G113" s="135" t="s">
        <v>200</v>
      </c>
      <c r="H113" s="135"/>
      <c r="I113" s="135"/>
      <c r="J113" s="135"/>
      <c r="K113" s="135"/>
      <c r="M113" s="157" t="s">
        <v>203</v>
      </c>
      <c r="N113" s="157"/>
      <c r="O113" s="157"/>
      <c r="P113" s="157"/>
      <c r="Q113" s="157"/>
    </row>
    <row r="114" spans="1:33" ht="15" x14ac:dyDescent="0.2">
      <c r="A114" s="1" t="s">
        <v>12</v>
      </c>
      <c r="B114" s="18">
        <f>N15</f>
        <v>100000</v>
      </c>
      <c r="C114" s="18">
        <f>B114*(1+C115)</f>
        <v>105300</v>
      </c>
      <c r="D114" s="18">
        <f>C114*(1+D115)</f>
        <v>111411.1055718475</v>
      </c>
      <c r="E114" s="18">
        <f>D114*(1+E115)</f>
        <v>118437.8806950999</v>
      </c>
      <c r="H114" s="127" t="s">
        <v>196</v>
      </c>
      <c r="I114" s="85">
        <v>2025</v>
      </c>
      <c r="J114" s="85">
        <v>2026</v>
      </c>
      <c r="K114" s="85">
        <v>2027</v>
      </c>
      <c r="N114" s="85" t="s">
        <v>196</v>
      </c>
      <c r="O114" s="85">
        <v>2025</v>
      </c>
      <c r="P114" s="85">
        <v>2026</v>
      </c>
      <c r="Q114" s="85">
        <v>2027</v>
      </c>
      <c r="AB114" s="51"/>
      <c r="AC114" s="51"/>
      <c r="AD114" s="51"/>
      <c r="AE114" s="51"/>
      <c r="AF114" s="51"/>
      <c r="AG114" s="51"/>
    </row>
    <row r="115" spans="1:33" x14ac:dyDescent="0.2">
      <c r="A115" s="48" t="s">
        <v>13</v>
      </c>
      <c r="B115" s="32"/>
      <c r="C115" s="129">
        <f>(C91+O16)</f>
        <v>5.2999999999999908E-2</v>
      </c>
      <c r="D115" s="129">
        <f t="shared" ref="D115:E115" si="39">(D91+P16)</f>
        <v>5.8035190615835702E-2</v>
      </c>
      <c r="E115" s="129">
        <f t="shared" si="39"/>
        <v>6.3070688394891911E-2</v>
      </c>
      <c r="I115" s="126">
        <v>0</v>
      </c>
      <c r="J115" s="126">
        <v>5000</v>
      </c>
      <c r="K115" s="126">
        <v>10000</v>
      </c>
      <c r="O115" s="5">
        <v>-4</v>
      </c>
      <c r="P115" s="5">
        <v>-12</v>
      </c>
      <c r="Q115" s="5">
        <v>0</v>
      </c>
      <c r="AB115"/>
      <c r="AC115"/>
      <c r="AD115"/>
      <c r="AE115"/>
      <c r="AF115"/>
      <c r="AG115"/>
    </row>
    <row r="116" spans="1:33" x14ac:dyDescent="0.2">
      <c r="A116" s="1"/>
      <c r="B116" s="43"/>
      <c r="C116" s="43"/>
      <c r="D116" s="43"/>
      <c r="E116" s="43"/>
    </row>
    <row r="117" spans="1:33" s="51" customFormat="1" ht="16" thickBot="1" x14ac:dyDescent="0.25">
      <c r="A117" s="16" t="s">
        <v>95</v>
      </c>
      <c r="B117" s="16"/>
      <c r="C117" s="16"/>
      <c r="D117" s="16"/>
      <c r="E117" s="16"/>
      <c r="F117" s="5"/>
      <c r="G117" s="48"/>
      <c r="H117" s="123" t="s">
        <v>193</v>
      </c>
      <c r="I117" s="121">
        <v>0</v>
      </c>
      <c r="J117" s="141">
        <v>5000</v>
      </c>
      <c r="K117" s="141">
        <v>10000</v>
      </c>
      <c r="L117" s="5"/>
      <c r="M117" s="48" t="s">
        <v>198</v>
      </c>
      <c r="N117" s="123" t="s">
        <v>193</v>
      </c>
      <c r="O117" s="161">
        <v>-4</v>
      </c>
      <c r="P117" s="161">
        <v>-12</v>
      </c>
      <c r="Q117" s="161">
        <v>0</v>
      </c>
      <c r="R117" s="5"/>
      <c r="S117" s="5"/>
      <c r="T117" s="5"/>
      <c r="U117" s="5"/>
      <c r="V117" s="5"/>
      <c r="W117" s="5"/>
      <c r="X117" s="5"/>
      <c r="Y117" s="5"/>
      <c r="Z117" s="5"/>
      <c r="AA117" s="5"/>
      <c r="AB117" s="5"/>
      <c r="AC117" s="5"/>
      <c r="AD117" s="5"/>
      <c r="AE117" s="5"/>
      <c r="AF117" s="5"/>
      <c r="AG117" s="5"/>
    </row>
    <row r="118" spans="1:33" customFormat="1" x14ac:dyDescent="0.2">
      <c r="A118" s="5"/>
      <c r="B118" s="30">
        <v>2024</v>
      </c>
      <c r="C118" s="30">
        <v>2025</v>
      </c>
      <c r="D118" s="30">
        <v>2026</v>
      </c>
      <c r="E118" s="30">
        <v>2027</v>
      </c>
      <c r="F118" s="5"/>
      <c r="G118" s="48"/>
      <c r="H118" s="124" t="s">
        <v>194</v>
      </c>
      <c r="I118" s="121">
        <v>0</v>
      </c>
      <c r="J118" s="141">
        <v>3000</v>
      </c>
      <c r="K118" s="141">
        <v>5000</v>
      </c>
      <c r="L118" s="5"/>
      <c r="M118" s="48"/>
      <c r="N118" s="124" t="s">
        <v>194</v>
      </c>
      <c r="O118" s="161">
        <v>0</v>
      </c>
      <c r="P118" s="161">
        <v>-7</v>
      </c>
      <c r="Q118" s="161">
        <v>0</v>
      </c>
      <c r="R118" s="5"/>
      <c r="S118" s="5"/>
      <c r="T118" s="5"/>
      <c r="U118" s="5"/>
      <c r="V118" s="5"/>
      <c r="W118" s="5"/>
      <c r="X118" s="5"/>
      <c r="Y118" s="5"/>
      <c r="Z118" s="5"/>
      <c r="AA118" s="5"/>
      <c r="AB118" s="5"/>
      <c r="AC118" s="5"/>
      <c r="AD118" s="5"/>
      <c r="AE118" s="5"/>
      <c r="AF118" s="5"/>
      <c r="AG118" s="5"/>
    </row>
    <row r="119" spans="1:33" x14ac:dyDescent="0.2">
      <c r="A119" s="1" t="s">
        <v>55</v>
      </c>
      <c r="B119" s="30"/>
      <c r="C119" s="30"/>
      <c r="D119" s="30"/>
      <c r="E119" s="30"/>
      <c r="G119" s="48"/>
      <c r="H119" s="125" t="s">
        <v>195</v>
      </c>
      <c r="I119" s="121">
        <v>0</v>
      </c>
      <c r="J119" s="142">
        <v>8000</v>
      </c>
      <c r="K119" s="141">
        <v>15000</v>
      </c>
      <c r="M119" s="48"/>
      <c r="N119" s="125" t="s">
        <v>195</v>
      </c>
      <c r="O119" s="161">
        <v>-6</v>
      </c>
      <c r="P119" s="162">
        <v>-15</v>
      </c>
      <c r="Q119" s="161">
        <v>0</v>
      </c>
    </row>
    <row r="120" spans="1:33" x14ac:dyDescent="0.2">
      <c r="A120" s="5" t="s">
        <v>24</v>
      </c>
      <c r="B120" s="18">
        <f>N21</f>
        <v>145000</v>
      </c>
      <c r="C120" s="18">
        <f>B120*(1+C125)</f>
        <v>152685</v>
      </c>
      <c r="D120" s="18">
        <f t="shared" ref="D120:E120" si="40">C120*(1+D125)</f>
        <v>161546.10307917887</v>
      </c>
      <c r="E120" s="18">
        <f t="shared" si="40"/>
        <v>171734.92700789485</v>
      </c>
      <c r="M120"/>
      <c r="N120"/>
      <c r="O120"/>
      <c r="P120"/>
      <c r="Q120"/>
    </row>
    <row r="121" spans="1:33" x14ac:dyDescent="0.2">
      <c r="A121" s="70"/>
      <c r="B121" s="18">
        <f t="shared" ref="B121:B124" si="41">N22</f>
        <v>11000</v>
      </c>
      <c r="C121" s="18">
        <f>B121*(1+C125)</f>
        <v>11583</v>
      </c>
      <c r="D121" s="18">
        <f t="shared" ref="D121:E121" si="42">C121*(1+D125)</f>
        <v>12255.221612903224</v>
      </c>
      <c r="E121" s="18">
        <f t="shared" si="42"/>
        <v>13028.166876460988</v>
      </c>
      <c r="G121" s="70"/>
      <c r="M121"/>
      <c r="N121"/>
      <c r="O121"/>
      <c r="P121"/>
      <c r="Q121"/>
    </row>
    <row r="122" spans="1:33" x14ac:dyDescent="0.2">
      <c r="A122" s="5" t="s">
        <v>17</v>
      </c>
      <c r="B122" s="18">
        <f t="shared" si="41"/>
        <v>28133</v>
      </c>
      <c r="C122" s="18">
        <f>B122*(1+C125)</f>
        <v>29624.048999999999</v>
      </c>
      <c r="D122" s="18">
        <f t="shared" ref="D122:E122" si="43">C122*(1+D125)</f>
        <v>31343.286330527855</v>
      </c>
      <c r="E122" s="18">
        <f t="shared" si="43"/>
        <v>33320.128975952452</v>
      </c>
    </row>
    <row r="123" spans="1:33" ht="15" thickBot="1" x14ac:dyDescent="0.25">
      <c r="A123" s="5" t="s">
        <v>26</v>
      </c>
      <c r="B123" s="18">
        <f t="shared" si="41"/>
        <v>14300</v>
      </c>
      <c r="C123" s="18">
        <f>B123*(1+C125)</f>
        <v>15057.9</v>
      </c>
      <c r="D123" s="18">
        <f t="shared" ref="D123:E123" si="44">C123*(1+D125)</f>
        <v>15931.788096774191</v>
      </c>
      <c r="E123" s="18">
        <f t="shared" si="44"/>
        <v>16936.616939399286</v>
      </c>
      <c r="G123" s="130" t="s">
        <v>204</v>
      </c>
      <c r="H123" s="130"/>
      <c r="I123" s="130"/>
      <c r="J123" s="130"/>
      <c r="K123" s="130"/>
      <c r="M123" s="158" t="s">
        <v>205</v>
      </c>
      <c r="N123" s="158"/>
      <c r="O123" s="158"/>
      <c r="P123" s="158"/>
      <c r="Q123" s="158"/>
    </row>
    <row r="124" spans="1:33" x14ac:dyDescent="0.2">
      <c r="A124" s="5" t="s">
        <v>30</v>
      </c>
      <c r="B124" s="18">
        <f t="shared" si="41"/>
        <v>850</v>
      </c>
      <c r="C124" s="18">
        <f>B124*(1+C125)</f>
        <v>895.05</v>
      </c>
      <c r="D124" s="18">
        <f t="shared" ref="D124:E124" si="45">C124*(1+D125)</f>
        <v>946.9943973607036</v>
      </c>
      <c r="E124" s="18">
        <f t="shared" si="45"/>
        <v>1006.721985908349</v>
      </c>
      <c r="H124" s="85" t="s">
        <v>196</v>
      </c>
      <c r="I124" s="85">
        <v>2025</v>
      </c>
      <c r="J124" s="85">
        <v>2026</v>
      </c>
      <c r="K124" s="85">
        <v>2027</v>
      </c>
      <c r="N124" s="85" t="s">
        <v>196</v>
      </c>
      <c r="O124" s="85">
        <v>2025</v>
      </c>
      <c r="P124" s="85">
        <v>2026</v>
      </c>
      <c r="Q124" s="85">
        <v>2027</v>
      </c>
    </row>
    <row r="125" spans="1:33" x14ac:dyDescent="0.2">
      <c r="A125" s="48" t="s">
        <v>58</v>
      </c>
      <c r="C125" s="41">
        <f>C115</f>
        <v>5.2999999999999908E-2</v>
      </c>
      <c r="D125" s="41">
        <f>D115</f>
        <v>5.8035190615835702E-2</v>
      </c>
      <c r="E125" s="41">
        <f>E115</f>
        <v>6.3070688394891911E-2</v>
      </c>
      <c r="I125" s="5">
        <v>0</v>
      </c>
      <c r="J125" s="5">
        <v>-5</v>
      </c>
      <c r="K125" s="5">
        <v>-10</v>
      </c>
      <c r="O125" s="5">
        <v>10</v>
      </c>
      <c r="P125" s="5">
        <v>10</v>
      </c>
      <c r="Q125" s="5">
        <v>12</v>
      </c>
    </row>
    <row r="126" spans="1:33" x14ac:dyDescent="0.2">
      <c r="C126" s="86"/>
      <c r="D126" s="86"/>
      <c r="E126" s="86"/>
    </row>
    <row r="127" spans="1:33" x14ac:dyDescent="0.2">
      <c r="A127" s="5" t="s">
        <v>29</v>
      </c>
      <c r="B127" s="18">
        <f>N28</f>
        <v>6000</v>
      </c>
      <c r="C127" s="18">
        <f>B127*(1+$C130)</f>
        <v>6618</v>
      </c>
      <c r="D127" s="18">
        <f>C127*(1+$D130)</f>
        <v>7498.4268914956001</v>
      </c>
      <c r="E127" s="18">
        <f>D127*(1+$E130)</f>
        <v>8721.2005265705575</v>
      </c>
      <c r="G127" s="48" t="s">
        <v>198</v>
      </c>
      <c r="H127" s="123" t="s">
        <v>193</v>
      </c>
      <c r="I127" s="163">
        <v>0</v>
      </c>
      <c r="J127" s="163">
        <v>-5</v>
      </c>
      <c r="K127" s="163">
        <v>-10</v>
      </c>
      <c r="M127" s="48" t="s">
        <v>198</v>
      </c>
      <c r="N127" s="123" t="s">
        <v>193</v>
      </c>
      <c r="O127" s="141">
        <v>10</v>
      </c>
      <c r="P127" s="141">
        <v>10</v>
      </c>
      <c r="Q127" s="141">
        <v>12</v>
      </c>
    </row>
    <row r="128" spans="1:33" x14ac:dyDescent="0.2">
      <c r="A128" s="5" t="s">
        <v>31</v>
      </c>
      <c r="B128" s="18">
        <f t="shared" ref="B128:B129" si="46">N29</f>
        <v>5000</v>
      </c>
      <c r="C128" s="18">
        <f>B128*(1+$C130)</f>
        <v>5515</v>
      </c>
      <c r="D128" s="18">
        <f>$C128*(1+D$130)</f>
        <v>6248.6890762463336</v>
      </c>
      <c r="E128" s="18">
        <f>D128*(1+E$130)</f>
        <v>7267.6671054754652</v>
      </c>
      <c r="G128" s="48"/>
      <c r="H128" s="124" t="s">
        <v>194</v>
      </c>
      <c r="I128" s="163">
        <v>0</v>
      </c>
      <c r="J128" s="163">
        <v>-2</v>
      </c>
      <c r="K128" s="163">
        <v>-5</v>
      </c>
      <c r="M128" s="48"/>
      <c r="N128" s="124" t="s">
        <v>194</v>
      </c>
      <c r="O128" s="141">
        <v>7</v>
      </c>
      <c r="P128" s="141">
        <v>8</v>
      </c>
      <c r="Q128" s="141">
        <v>9</v>
      </c>
    </row>
    <row r="129" spans="1:17" x14ac:dyDescent="0.2">
      <c r="A129" s="5" t="s">
        <v>32</v>
      </c>
      <c r="B129" s="18">
        <f t="shared" si="46"/>
        <v>1500</v>
      </c>
      <c r="C129" s="18">
        <f>B129*(1+$C130)</f>
        <v>1654.5</v>
      </c>
      <c r="D129" s="18">
        <f>$C129*(1+D$130)</f>
        <v>1874.6067228739</v>
      </c>
      <c r="E129" s="18">
        <f>D129*(1+$E130)</f>
        <v>2180.3001316426394</v>
      </c>
      <c r="G129" s="48"/>
      <c r="H129" s="125" t="s">
        <v>195</v>
      </c>
      <c r="I129" s="163">
        <v>0</v>
      </c>
      <c r="J129" s="164">
        <v>-7</v>
      </c>
      <c r="K129" s="163">
        <v>-14</v>
      </c>
      <c r="M129" s="48"/>
      <c r="N129" s="125" t="s">
        <v>195</v>
      </c>
      <c r="O129" s="141">
        <v>11</v>
      </c>
      <c r="P129" s="142">
        <v>13</v>
      </c>
      <c r="Q129" s="141">
        <v>15</v>
      </c>
    </row>
    <row r="130" spans="1:17" x14ac:dyDescent="0.2">
      <c r="A130" s="48" t="s">
        <v>59</v>
      </c>
      <c r="B130" s="20"/>
      <c r="C130" s="41">
        <f>C125+C92</f>
        <v>0.10299999999999991</v>
      </c>
      <c r="D130" s="41">
        <f t="shared" ref="D130:E130" si="47">D125+D92</f>
        <v>0.13303519061583569</v>
      </c>
      <c r="E130" s="41">
        <f t="shared" si="47"/>
        <v>0.16307068839489192</v>
      </c>
      <c r="G130"/>
      <c r="H130"/>
      <c r="I130"/>
      <c r="J130"/>
      <c r="K130"/>
      <c r="M130"/>
      <c r="N130"/>
      <c r="O130"/>
      <c r="P130"/>
      <c r="Q130"/>
    </row>
    <row r="131" spans="1:17" x14ac:dyDescent="0.2">
      <c r="A131" s="1"/>
      <c r="B131" s="40"/>
      <c r="C131" s="1"/>
      <c r="D131" s="1"/>
      <c r="E131" s="1"/>
      <c r="G131"/>
      <c r="H131"/>
      <c r="I131"/>
      <c r="J131"/>
      <c r="K131"/>
      <c r="M131"/>
      <c r="N131"/>
      <c r="O131"/>
      <c r="P131"/>
      <c r="Q131"/>
    </row>
    <row r="132" spans="1:17" ht="15" thickBot="1" x14ac:dyDescent="0.25">
      <c r="A132" s="16" t="s">
        <v>167</v>
      </c>
      <c r="B132" s="16"/>
      <c r="C132" s="16"/>
      <c r="D132" s="16"/>
      <c r="E132" s="16"/>
    </row>
    <row r="133" spans="1:17" x14ac:dyDescent="0.2">
      <c r="B133" s="30">
        <v>2024</v>
      </c>
      <c r="C133" s="30">
        <v>2025</v>
      </c>
      <c r="D133" s="30">
        <v>2026</v>
      </c>
      <c r="E133" s="30">
        <v>2027</v>
      </c>
    </row>
    <row r="134" spans="1:17" ht="15" thickBot="1" x14ac:dyDescent="0.25">
      <c r="A134" s="5" t="s">
        <v>68</v>
      </c>
      <c r="B134" s="18">
        <f>N35</f>
        <v>40</v>
      </c>
      <c r="C134" s="18">
        <f>B134+C99</f>
        <v>36</v>
      </c>
      <c r="D134" s="18">
        <f>C134+D99</f>
        <v>24</v>
      </c>
      <c r="E134" s="18">
        <f>D134+E99</f>
        <v>24</v>
      </c>
      <c r="G134" s="165" t="s">
        <v>207</v>
      </c>
      <c r="H134" s="165"/>
      <c r="I134" s="165"/>
      <c r="J134" s="165"/>
      <c r="K134" s="165"/>
      <c r="L134" s="165"/>
      <c r="M134" s="165"/>
      <c r="N134" s="165"/>
      <c r="O134" s="165"/>
      <c r="P134" s="165"/>
      <c r="Q134" s="165"/>
    </row>
    <row r="135" spans="1:17" x14ac:dyDescent="0.2">
      <c r="A135" s="5" t="s">
        <v>69</v>
      </c>
      <c r="B135" s="18">
        <f t="shared" ref="B135:B138" si="48">N36</f>
        <v>20</v>
      </c>
      <c r="C135" s="18">
        <v>20</v>
      </c>
      <c r="D135" s="18">
        <v>20</v>
      </c>
      <c r="E135" s="18">
        <v>20</v>
      </c>
      <c r="L135" s="45"/>
    </row>
    <row r="136" spans="1:17" ht="15" thickBot="1" x14ac:dyDescent="0.25">
      <c r="A136" s="5" t="s">
        <v>70</v>
      </c>
      <c r="B136" s="18">
        <f t="shared" si="48"/>
        <v>155</v>
      </c>
      <c r="C136" s="18">
        <f t="shared" ref="C136:E137" si="49">B136+C100</f>
        <v>155</v>
      </c>
      <c r="D136" s="18">
        <f t="shared" si="49"/>
        <v>150</v>
      </c>
      <c r="E136" s="18">
        <f t="shared" si="49"/>
        <v>140</v>
      </c>
      <c r="G136" s="20"/>
      <c r="H136" s="166" t="s">
        <v>208</v>
      </c>
      <c r="I136" s="167"/>
      <c r="J136" s="166" t="s">
        <v>209</v>
      </c>
      <c r="K136" s="166"/>
      <c r="L136" s="166" t="s">
        <v>210</v>
      </c>
    </row>
    <row r="137" spans="1:17" x14ac:dyDescent="0.2">
      <c r="A137" s="5" t="s">
        <v>72</v>
      </c>
      <c r="B137" s="18">
        <f t="shared" si="48"/>
        <v>20</v>
      </c>
      <c r="C137" s="18">
        <f t="shared" si="49"/>
        <v>30</v>
      </c>
      <c r="D137" s="18">
        <f t="shared" si="49"/>
        <v>40</v>
      </c>
      <c r="E137" s="18">
        <f t="shared" si="49"/>
        <v>52</v>
      </c>
      <c r="H137" s="168"/>
      <c r="I137" s="168"/>
      <c r="J137" s="159"/>
      <c r="K137" s="168"/>
      <c r="L137" s="168"/>
    </row>
    <row r="138" spans="1:17" x14ac:dyDescent="0.2">
      <c r="A138" s="5" t="s">
        <v>85</v>
      </c>
      <c r="B138" s="18">
        <f t="shared" si="48"/>
        <v>7</v>
      </c>
      <c r="C138" s="18">
        <v>7</v>
      </c>
      <c r="D138" s="18">
        <v>7</v>
      </c>
      <c r="E138" s="18">
        <v>7</v>
      </c>
      <c r="H138" s="169">
        <f>F187</f>
        <v>14486869.195093744</v>
      </c>
      <c r="I138" s="170"/>
      <c r="J138" s="171">
        <f>F188</f>
        <v>-6515278.6087227687</v>
      </c>
      <c r="K138" s="170"/>
      <c r="L138" s="169">
        <f>F189</f>
        <v>21002147.803816512</v>
      </c>
    </row>
    <row r="139" spans="1:17" x14ac:dyDescent="0.2">
      <c r="A139" s="48"/>
      <c r="C139" s="1"/>
      <c r="D139" s="1"/>
      <c r="E139" s="1"/>
    </row>
    <row r="140" spans="1:17" x14ac:dyDescent="0.2">
      <c r="A140" s="5" t="s">
        <v>90</v>
      </c>
      <c r="B140" s="71">
        <f>B103</f>
        <v>53750</v>
      </c>
      <c r="C140" s="71">
        <f t="shared" ref="C140:E140" si="50">C103</f>
        <v>53750</v>
      </c>
      <c r="D140" s="71">
        <f t="shared" si="50"/>
        <v>56000</v>
      </c>
      <c r="E140" s="71">
        <f t="shared" si="50"/>
        <v>60000</v>
      </c>
    </row>
    <row r="141" spans="1:17" x14ac:dyDescent="0.2">
      <c r="A141" s="5" t="s">
        <v>94</v>
      </c>
      <c r="B141" s="71">
        <f>N42</f>
        <v>135000</v>
      </c>
      <c r="C141" s="71">
        <v>135000</v>
      </c>
      <c r="D141" s="71">
        <v>135000</v>
      </c>
      <c r="E141" s="71">
        <v>135000</v>
      </c>
    </row>
    <row r="142" spans="1:17" x14ac:dyDescent="0.2">
      <c r="A142" s="5" t="s">
        <v>91</v>
      </c>
      <c r="B142" s="71">
        <f>B105</f>
        <v>108625</v>
      </c>
      <c r="C142" s="71">
        <f>C105</f>
        <v>108625</v>
      </c>
      <c r="D142" s="71">
        <f>D105</f>
        <v>110000</v>
      </c>
      <c r="E142" s="71">
        <f>E105</f>
        <v>115000</v>
      </c>
    </row>
    <row r="143" spans="1:17" x14ac:dyDescent="0.2">
      <c r="A143" s="5" t="s">
        <v>92</v>
      </c>
      <c r="B143" s="71">
        <f>B104</f>
        <v>52979.354838709674</v>
      </c>
      <c r="C143" s="71">
        <f t="shared" ref="C143:E143" si="51">C104</f>
        <v>52979.354838709674</v>
      </c>
      <c r="D143" s="71">
        <f t="shared" si="51"/>
        <v>55000</v>
      </c>
      <c r="E143" s="71">
        <f t="shared" si="51"/>
        <v>59000</v>
      </c>
      <c r="G143" s="15"/>
    </row>
    <row r="144" spans="1:17" x14ac:dyDescent="0.2">
      <c r="A144" s="5" t="s">
        <v>93</v>
      </c>
      <c r="B144" s="71">
        <f>N45</f>
        <v>37242.857142857145</v>
      </c>
      <c r="C144" s="71">
        <v>37242.857142857145</v>
      </c>
      <c r="D144" s="71">
        <v>37242.857142857145</v>
      </c>
      <c r="E144" s="71">
        <v>37242.857142857145</v>
      </c>
    </row>
    <row r="145" spans="1:5" x14ac:dyDescent="0.2">
      <c r="A145" s="1"/>
      <c r="B145" s="1"/>
      <c r="C145" s="54"/>
      <c r="D145" s="54"/>
      <c r="E145" s="54"/>
    </row>
    <row r="146" spans="1:5" x14ac:dyDescent="0.2">
      <c r="A146" s="1"/>
      <c r="B146" s="1"/>
      <c r="C146" s="54"/>
      <c r="D146" s="54"/>
      <c r="E146" s="54"/>
    </row>
    <row r="147" spans="1:5" x14ac:dyDescent="0.2">
      <c r="A147" s="1"/>
      <c r="B147" s="1"/>
      <c r="C147" s="54"/>
      <c r="D147" s="54"/>
      <c r="E147" s="54"/>
    </row>
    <row r="148" spans="1:5" ht="15" thickBot="1" x14ac:dyDescent="0.25">
      <c r="A148" s="16" t="s">
        <v>166</v>
      </c>
      <c r="B148" s="16"/>
      <c r="C148" s="16"/>
      <c r="D148" s="16"/>
      <c r="E148" s="16"/>
    </row>
    <row r="149" spans="1:5" x14ac:dyDescent="0.2">
      <c r="A149" s="1"/>
      <c r="B149" s="30">
        <v>2024</v>
      </c>
      <c r="C149" s="30">
        <v>2025</v>
      </c>
      <c r="D149" s="30">
        <v>2026</v>
      </c>
      <c r="E149" s="30">
        <v>2027</v>
      </c>
    </row>
    <row r="150" spans="1:5" x14ac:dyDescent="0.2">
      <c r="A150" s="1" t="s">
        <v>0</v>
      </c>
      <c r="B150" s="18"/>
      <c r="C150" s="18"/>
      <c r="D150" s="18"/>
      <c r="E150" s="18"/>
    </row>
    <row r="151" spans="1:5" x14ac:dyDescent="0.2">
      <c r="A151" s="5" t="s">
        <v>24</v>
      </c>
      <c r="B151" s="67">
        <f>B120*'Input Data'!$J$48</f>
        <v>13300000</v>
      </c>
      <c r="C151" s="67">
        <f>C120*'Input Data'!$J$48</f>
        <v>14004900</v>
      </c>
      <c r="D151" s="67">
        <f>D120*'Input Data'!$J$48</f>
        <v>14817677.041055717</v>
      </c>
      <c r="E151" s="67">
        <f>E120*'Input Data'!$J$48</f>
        <v>15752238.132448286</v>
      </c>
    </row>
    <row r="152" spans="1:5" x14ac:dyDescent="0.2">
      <c r="A152" s="5" t="s">
        <v>16</v>
      </c>
      <c r="B152" s="67">
        <f>B121*'Input Data'!$J$49</f>
        <v>5699999.9999999991</v>
      </c>
      <c r="C152" s="67">
        <f>C121*'Input Data'!$J$49</f>
        <v>6002099.9999999991</v>
      </c>
      <c r="D152" s="67">
        <f>D121*'Input Data'!$J$49</f>
        <v>6350433.017595306</v>
      </c>
      <c r="E152" s="67">
        <f>E121*'Input Data'!$J$49</f>
        <v>6750959.199620693</v>
      </c>
    </row>
    <row r="153" spans="1:5" x14ac:dyDescent="0.2">
      <c r="A153" s="5" t="s">
        <v>17</v>
      </c>
      <c r="B153" s="67">
        <f>B122*'Input Data'!$J$50</f>
        <v>4151950.0000000005</v>
      </c>
      <c r="C153" s="67">
        <f>C122*'Input Data'!$J$50</f>
        <v>4372003.3500000006</v>
      </c>
      <c r="D153" s="67">
        <f>D122*'Input Data'!$J$50</f>
        <v>4625733.3977903221</v>
      </c>
      <c r="E153" s="67">
        <f>E122*'Input Data'!$J$50</f>
        <v>4917481.5875201998</v>
      </c>
    </row>
    <row r="154" spans="1:5" x14ac:dyDescent="0.2">
      <c r="A154" s="5" t="s">
        <v>26</v>
      </c>
      <c r="B154" s="67">
        <f>B123*'Input Data'!$J$51</f>
        <v>21020000</v>
      </c>
      <c r="C154" s="67">
        <f>C123*'Input Data'!$J$51</f>
        <v>22134060</v>
      </c>
      <c r="D154" s="67">
        <f>D123*'Input Data'!$J$51</f>
        <v>23418614.391202342</v>
      </c>
      <c r="E154" s="67">
        <f>E123*'Input Data'!$J$51</f>
        <v>24895642.52211</v>
      </c>
    </row>
    <row r="155" spans="1:5" x14ac:dyDescent="0.2">
      <c r="A155" s="5" t="s">
        <v>30</v>
      </c>
      <c r="B155" s="67">
        <f>B124*'Input Data'!$G$21</f>
        <v>127500</v>
      </c>
      <c r="C155" s="67">
        <f>C124*'Input Data'!$G$21</f>
        <v>134257.5</v>
      </c>
      <c r="D155" s="67">
        <f>D124*'Input Data'!$G$21</f>
        <v>142049.15960410555</v>
      </c>
      <c r="E155" s="67">
        <f>E124*'Input Data'!$G$21</f>
        <v>151008.29788625235</v>
      </c>
    </row>
    <row r="156" spans="1:5" x14ac:dyDescent="0.2">
      <c r="A156" s="5" t="s">
        <v>29</v>
      </c>
      <c r="B156" s="67">
        <f>B127*'Input Data'!G$20</f>
        <v>660000</v>
      </c>
      <c r="C156" s="67">
        <f>C127*'Input Data'!$G$20</f>
        <v>727980</v>
      </c>
      <c r="D156" s="67">
        <f>D127*'Input Data'!$G$20</f>
        <v>824826.95806451596</v>
      </c>
      <c r="E156" s="67">
        <f>E127*'Input Data'!$G$20</f>
        <v>959332.05792276131</v>
      </c>
    </row>
    <row r="157" spans="1:5" x14ac:dyDescent="0.2">
      <c r="A157" s="5" t="s">
        <v>31</v>
      </c>
      <c r="B157" s="67">
        <f>B128*'Input Data'!$G$22</f>
        <v>150000</v>
      </c>
      <c r="C157" s="67">
        <f>C128*'Input Data'!$G$22</f>
        <v>165450</v>
      </c>
      <c r="D157" s="67">
        <f>D128*'Input Data'!$G$22</f>
        <v>187460.67228739001</v>
      </c>
      <c r="E157" s="67">
        <f>E128*'Input Data'!$G$22</f>
        <v>218030.01316426395</v>
      </c>
    </row>
    <row r="158" spans="1:5" x14ac:dyDescent="0.2">
      <c r="A158" s="5" t="s">
        <v>32</v>
      </c>
      <c r="B158" s="67">
        <f>B129*'Input Data'!$G$23</f>
        <v>825000</v>
      </c>
      <c r="C158" s="67">
        <f>C129*'Input Data'!$G$23</f>
        <v>909975</v>
      </c>
      <c r="D158" s="67">
        <f>D129*'Input Data'!$G$23</f>
        <v>1031033.697580645</v>
      </c>
      <c r="E158" s="67">
        <f>E129*'Input Data'!$G$23</f>
        <v>1199165.0724034517</v>
      </c>
    </row>
    <row r="159" spans="1:5" x14ac:dyDescent="0.2">
      <c r="A159" s="5" t="s">
        <v>153</v>
      </c>
      <c r="B159" s="67">
        <f>B93*B94</f>
        <v>0</v>
      </c>
      <c r="C159" s="67">
        <f>C93*C94</f>
        <v>0</v>
      </c>
      <c r="D159" s="67">
        <f>D93*D94</f>
        <v>900000</v>
      </c>
      <c r="E159" s="67">
        <f>E93*E94</f>
        <v>3600000</v>
      </c>
    </row>
    <row r="160" spans="1:5" x14ac:dyDescent="0.2">
      <c r="A160" s="58" t="s">
        <v>19</v>
      </c>
      <c r="B160" s="68">
        <f>SUM(B150:B159)</f>
        <v>45934450</v>
      </c>
      <c r="C160" s="68">
        <f t="shared" ref="C160:E160" si="52">SUM(C150:C159)</f>
        <v>48450725.850000001</v>
      </c>
      <c r="D160" s="68">
        <f t="shared" si="52"/>
        <v>52297828.335180342</v>
      </c>
      <c r="E160" s="68">
        <f t="shared" si="52"/>
        <v>58443856.883075908</v>
      </c>
    </row>
    <row r="161" spans="1:5" x14ac:dyDescent="0.2">
      <c r="A161" s="1" t="s">
        <v>8</v>
      </c>
      <c r="B161" s="67"/>
      <c r="C161" s="67"/>
      <c r="D161" s="67"/>
      <c r="E161" s="67"/>
    </row>
    <row r="162" spans="1:5" x14ac:dyDescent="0.2">
      <c r="A162" s="5" t="s">
        <v>35</v>
      </c>
      <c r="B162" s="67">
        <f>B135*B141+B136*B143+B137*B142+B138*B144</f>
        <v>13345000</v>
      </c>
      <c r="C162" s="67">
        <f>C135*C141+C136*C143+C137*C142+C138*C144</f>
        <v>14431250</v>
      </c>
      <c r="D162" s="67">
        <f>D135*D141+D136*D143+D137*D142+D138*D144</f>
        <v>15610700</v>
      </c>
      <c r="E162" s="67">
        <f>E135*E141+E136*E143+E137*E142+E138*E144</f>
        <v>17200700</v>
      </c>
    </row>
    <row r="163" spans="1:5" x14ac:dyDescent="0.2">
      <c r="A163" s="5" t="s">
        <v>36</v>
      </c>
      <c r="B163" s="67">
        <f>B108*SUM(B134:B138)</f>
        <v>325000</v>
      </c>
      <c r="C163" s="67">
        <f>C108*SUM(C134:C138)</f>
        <v>347200</v>
      </c>
      <c r="D163" s="67">
        <f t="shared" ref="D163:E163" si="53">D108*SUM(D134:D138)</f>
        <v>361500</v>
      </c>
      <c r="E163" s="67">
        <f t="shared" si="53"/>
        <v>394480.51948051952</v>
      </c>
    </row>
    <row r="164" spans="1:5" x14ac:dyDescent="0.2">
      <c r="A164" s="5" t="s">
        <v>64</v>
      </c>
      <c r="B164" s="67">
        <f>B134*B140</f>
        <v>2150000</v>
      </c>
      <c r="C164" s="67">
        <f>C134*C140</f>
        <v>1935000</v>
      </c>
      <c r="D164" s="67">
        <f t="shared" ref="D164:E164" si="54">D134*D140</f>
        <v>1344000</v>
      </c>
      <c r="E164" s="67">
        <f t="shared" si="54"/>
        <v>1440000</v>
      </c>
    </row>
    <row r="165" spans="1:5" x14ac:dyDescent="0.2">
      <c r="A165" s="5" t="s">
        <v>45</v>
      </c>
      <c r="B165" s="67"/>
      <c r="C165" s="67"/>
      <c r="D165" s="67"/>
      <c r="E165" s="67"/>
    </row>
    <row r="166" spans="1:5" x14ac:dyDescent="0.2">
      <c r="A166" s="48" t="s">
        <v>42</v>
      </c>
      <c r="B166" s="67">
        <f>B62</f>
        <v>10400000</v>
      </c>
      <c r="C166" s="67">
        <f>B166-(C101*('Input Data'!$F$49+'Input Data'!$F$51)*'Input Data'!$B$50)</f>
        <v>8740407.8766795397</v>
      </c>
      <c r="D166" s="67">
        <f>C166-(D101*('Input Data'!$F$49+'Input Data'!$F$51)*'Input Data'!$B$50)</f>
        <v>7080815.7533590784</v>
      </c>
      <c r="E166" s="67">
        <f>D166-(E101*('Input Data'!$F$49+'Input Data'!$F$51)*'Input Data'!$B$50)</f>
        <v>5089305.2053745259</v>
      </c>
    </row>
    <row r="167" spans="1:5" x14ac:dyDescent="0.2">
      <c r="A167" s="48" t="s">
        <v>43</v>
      </c>
      <c r="B167" s="67">
        <f>B63*(1+B95)</f>
        <v>325000</v>
      </c>
      <c r="C167" s="67">
        <f>C63*(1+C95)</f>
        <v>227500</v>
      </c>
      <c r="D167" s="67">
        <f>D63*(1+D95)</f>
        <v>97500.000000000015</v>
      </c>
      <c r="E167" s="67">
        <f>E63*(1+E95)</f>
        <v>0</v>
      </c>
    </row>
    <row r="168" spans="1:5" x14ac:dyDescent="0.2">
      <c r="A168" s="48" t="s">
        <v>44</v>
      </c>
      <c r="B168" s="67">
        <f>B64+H65</f>
        <v>4140175</v>
      </c>
      <c r="C168" s="67">
        <f t="shared" ref="C168:E168" si="55">C64+I65</f>
        <v>4140175</v>
      </c>
      <c r="D168" s="67">
        <f t="shared" si="55"/>
        <v>4140175</v>
      </c>
      <c r="E168" s="67">
        <f t="shared" si="55"/>
        <v>4140175</v>
      </c>
    </row>
    <row r="169" spans="1:5" x14ac:dyDescent="0.2">
      <c r="A169" s="5" t="s">
        <v>38</v>
      </c>
      <c r="B169" s="67">
        <f>B96*SUM(B120:B124,B127:B129)</f>
        <v>7860000</v>
      </c>
      <c r="C169" s="67">
        <f>C96*SUM(C120:C124,C127:C129)</f>
        <v>7379872.4669999992</v>
      </c>
      <c r="D169" s="67">
        <f>D96*SUM(D120:D124,D127:D129)</f>
        <v>6891708.3700134605</v>
      </c>
      <c r="E169" s="67">
        <f t="shared" ref="E169" si="56">E96*SUM(E120:E124,E127:E129)</f>
        <v>6354893.2387326136</v>
      </c>
    </row>
    <row r="170" spans="1:5" x14ac:dyDescent="0.2">
      <c r="A170" s="5" t="s">
        <v>39</v>
      </c>
      <c r="B170" s="67">
        <f>N65</f>
        <v>1100000</v>
      </c>
      <c r="C170" s="67">
        <f t="shared" ref="C170:E170" si="57">O65</f>
        <v>1100000</v>
      </c>
      <c r="D170" s="67">
        <f t="shared" si="57"/>
        <v>1100000</v>
      </c>
      <c r="E170" s="67">
        <f t="shared" si="57"/>
        <v>1100000</v>
      </c>
    </row>
    <row r="171" spans="1:5" x14ac:dyDescent="0.2">
      <c r="A171" s="5" t="s">
        <v>40</v>
      </c>
      <c r="B171" s="67">
        <f>B97+H68+B107</f>
        <v>2300000</v>
      </c>
      <c r="C171" s="67">
        <f t="shared" ref="C171" si="58">C97+I68+C107</f>
        <v>3000000</v>
      </c>
      <c r="D171" s="67">
        <f>D97+J68+D107</f>
        <v>4000000</v>
      </c>
      <c r="E171" s="67">
        <f>E97+K68+E107</f>
        <v>4560000</v>
      </c>
    </row>
    <row r="172" spans="1:5" x14ac:dyDescent="0.2">
      <c r="A172" s="5" t="s">
        <v>145</v>
      </c>
      <c r="B172" s="67">
        <f>B109*'Input Data'!$B$49</f>
        <v>0</v>
      </c>
      <c r="C172" s="67">
        <f>C109*'Input Data'!$B$49</f>
        <v>450000</v>
      </c>
      <c r="D172" s="67">
        <f>D109*'Input Data'!$B$49</f>
        <v>540000</v>
      </c>
      <c r="E172" s="67">
        <f>E109*'Input Data'!$B$49</f>
        <v>630000</v>
      </c>
    </row>
    <row r="173" spans="1:5" x14ac:dyDescent="0.2">
      <c r="A173" s="58" t="s">
        <v>19</v>
      </c>
      <c r="B173" s="56">
        <f>SUM(B162:B172)</f>
        <v>41945175</v>
      </c>
      <c r="C173" s="56">
        <f t="shared" ref="C173:E173" si="59">SUM(C162:C172)</f>
        <v>41751405.34367954</v>
      </c>
      <c r="D173" s="56">
        <f t="shared" si="59"/>
        <v>41166399.12337254</v>
      </c>
      <c r="E173" s="56">
        <f t="shared" si="59"/>
        <v>40909553.963587657</v>
      </c>
    </row>
    <row r="174" spans="1:5" x14ac:dyDescent="0.2">
      <c r="A174" s="35"/>
      <c r="B174" s="57"/>
      <c r="C174" s="57"/>
      <c r="D174" s="57"/>
      <c r="E174" s="57"/>
    </row>
    <row r="175" spans="1:5" x14ac:dyDescent="0.2">
      <c r="A175" s="1" t="s">
        <v>1</v>
      </c>
      <c r="B175" s="46">
        <f>B160-B173</f>
        <v>3989275</v>
      </c>
      <c r="C175" s="46">
        <f>C160-C173</f>
        <v>6699320.5063204616</v>
      </c>
      <c r="D175" s="46">
        <f>D160-D173</f>
        <v>11131429.211807802</v>
      </c>
      <c r="E175" s="46">
        <f>E160-E173</f>
        <v>17534302.919488251</v>
      </c>
    </row>
    <row r="176" spans="1:5" x14ac:dyDescent="0.2">
      <c r="A176" s="34" t="s">
        <v>2</v>
      </c>
      <c r="B176" s="36">
        <f>B175/B160</f>
        <v>8.6847126720794518E-2</v>
      </c>
      <c r="C176" s="36">
        <f>C175/C160</f>
        <v>0.13827079757403596</v>
      </c>
      <c r="D176" s="36">
        <f>D175/D160</f>
        <v>0.21284687273180283</v>
      </c>
      <c r="E176" s="36">
        <f>E175/E160</f>
        <v>0.30001960607370198</v>
      </c>
    </row>
    <row r="177" spans="1:6" x14ac:dyDescent="0.2">
      <c r="A177" s="35"/>
      <c r="B177" s="54"/>
      <c r="C177" s="54"/>
      <c r="D177" s="54"/>
      <c r="E177" s="54"/>
    </row>
    <row r="178" spans="1:6" x14ac:dyDescent="0.2">
      <c r="A178" s="30" t="s">
        <v>5</v>
      </c>
      <c r="B178" s="30">
        <v>2024</v>
      </c>
      <c r="C178" s="30">
        <v>2025</v>
      </c>
      <c r="D178" s="30">
        <v>2026</v>
      </c>
      <c r="E178" s="30">
        <v>2027</v>
      </c>
    </row>
    <row r="179" spans="1:6" x14ac:dyDescent="0.2">
      <c r="A179" s="5" t="s">
        <v>98</v>
      </c>
      <c r="B179" s="39">
        <f>B162/(B160)</f>
        <v>0.29052269048611662</v>
      </c>
      <c r="C179" s="39">
        <f t="shared" ref="C179:E179" si="60">C162/(C160)</f>
        <v>0.29785415485163469</v>
      </c>
      <c r="D179" s="39">
        <f t="shared" si="60"/>
        <v>0.29849614213328252</v>
      </c>
      <c r="E179" s="39">
        <f t="shared" si="60"/>
        <v>0.29431151394426458</v>
      </c>
    </row>
    <row r="180" spans="1:6" x14ac:dyDescent="0.2">
      <c r="A180" t="s">
        <v>100</v>
      </c>
      <c r="B180" s="39">
        <f>B169/B160</f>
        <v>0.17111340181497764</v>
      </c>
      <c r="C180" s="39">
        <f t="shared" ref="C180:E180" si="61">C169/C160</f>
        <v>0.1523170672374973</v>
      </c>
      <c r="D180" s="39">
        <f t="shared" si="61"/>
        <v>0.13177809842970978</v>
      </c>
      <c r="E180" s="39">
        <f t="shared" si="61"/>
        <v>0.10873500788023548</v>
      </c>
    </row>
    <row r="181" spans="1:6" x14ac:dyDescent="0.2">
      <c r="A181" s="5" t="s">
        <v>14</v>
      </c>
      <c r="B181" s="39">
        <f>B164/B160</f>
        <v>4.6805828740738159E-2</v>
      </c>
      <c r="C181" s="39">
        <f t="shared" ref="C181:D181" si="62">C164/C160</f>
        <v>3.9937482174996146E-2</v>
      </c>
      <c r="D181" s="39">
        <f t="shared" si="62"/>
        <v>2.569896385345511E-2</v>
      </c>
      <c r="E181" s="39">
        <f>E164/E160</f>
        <v>2.4639030974305757E-2</v>
      </c>
    </row>
    <row r="182" spans="1:6" x14ac:dyDescent="0.2">
      <c r="A182" t="s">
        <v>99</v>
      </c>
      <c r="B182" s="39">
        <f>B166/B160</f>
        <v>0.22640959018775669</v>
      </c>
      <c r="C182" s="39">
        <f t="shared" ref="C182:E182" si="63">C166/C160</f>
        <v>0.18039787275301553</v>
      </c>
      <c r="D182" s="39">
        <f t="shared" si="63"/>
        <v>0.13539406852570718</v>
      </c>
      <c r="E182" s="39">
        <f t="shared" si="63"/>
        <v>8.7080242078415596E-2</v>
      </c>
    </row>
    <row r="183" spans="1:6" x14ac:dyDescent="0.2">
      <c r="A183" t="s">
        <v>101</v>
      </c>
      <c r="B183" s="39">
        <f>(B156+B158+B157)/B160</f>
        <v>3.5594199995863669E-2</v>
      </c>
      <c r="C183" s="39">
        <f>(C156+C158+C157)/C160</f>
        <v>3.7221423794211332E-2</v>
      </c>
      <c r="D183" s="39">
        <f>(D156+D158+D157)/D160</f>
        <v>3.9070863800247414E-2</v>
      </c>
      <c r="E183" s="39">
        <f>(E156+E158+E157)/E160</f>
        <v>4.0663420763708505E-2</v>
      </c>
    </row>
    <row r="185" spans="1:6" ht="15" thickBot="1" x14ac:dyDescent="0.25">
      <c r="A185" s="172" t="s">
        <v>9</v>
      </c>
      <c r="B185" s="16"/>
      <c r="C185" s="16"/>
      <c r="D185" s="16"/>
      <c r="E185" s="16"/>
      <c r="F185" s="16"/>
    </row>
    <row r="186" spans="1:6" x14ac:dyDescent="0.2">
      <c r="B186" s="30">
        <v>2024</v>
      </c>
      <c r="C186" s="30">
        <v>2025</v>
      </c>
      <c r="D186" s="30">
        <v>2026</v>
      </c>
      <c r="E186" s="30">
        <v>2027</v>
      </c>
      <c r="F186" s="30" t="s">
        <v>10</v>
      </c>
    </row>
    <row r="187" spans="1:6" x14ac:dyDescent="0.2">
      <c r="A187" s="1" t="s">
        <v>0</v>
      </c>
      <c r="B187" s="52">
        <f>B160-N58</f>
        <v>0</v>
      </c>
      <c r="C187" s="52">
        <f>C160-O58</f>
        <v>1386544.3500000015</v>
      </c>
      <c r="D187" s="52">
        <f t="shared" ref="D187:E187" si="64">D160-P58</f>
        <v>4073198.4676803425</v>
      </c>
      <c r="E187" s="52">
        <f t="shared" si="64"/>
        <v>9027126.3774133995</v>
      </c>
      <c r="F187" s="53">
        <f>SUM(C187:E187)</f>
        <v>14486869.195093744</v>
      </c>
    </row>
    <row r="188" spans="1:6" x14ac:dyDescent="0.2">
      <c r="A188" s="1" t="s">
        <v>8</v>
      </c>
      <c r="B188" s="52">
        <f>B173-N67</f>
        <v>0</v>
      </c>
      <c r="C188" s="52">
        <f>C173-O67</f>
        <v>-932455.15632046014</v>
      </c>
      <c r="D188" s="52">
        <f t="shared" ref="D188:E188" si="65">D173-P67</f>
        <v>-2274768.3941274583</v>
      </c>
      <c r="E188" s="52">
        <f t="shared" si="65"/>
        <v>-3308055.0582748502</v>
      </c>
      <c r="F188" s="53">
        <f>SUM(C188:E188)</f>
        <v>-6515278.6087227687</v>
      </c>
    </row>
    <row r="189" spans="1:6" x14ac:dyDescent="0.2">
      <c r="A189" s="1" t="s">
        <v>11</v>
      </c>
      <c r="B189" s="52">
        <f>SUM(B187:B188)</f>
        <v>0</v>
      </c>
      <c r="C189" s="52">
        <f t="shared" ref="C189:E189" si="66">SUM(C187:C188)</f>
        <v>454089.19367954135</v>
      </c>
      <c r="D189" s="52">
        <f t="shared" si="66"/>
        <v>1798430.0735528842</v>
      </c>
      <c r="E189" s="52">
        <f t="shared" si="66"/>
        <v>5719071.3191385493</v>
      </c>
      <c r="F189" s="47">
        <f>F187-F188</f>
        <v>21002147.803816512</v>
      </c>
    </row>
  </sheetData>
  <scenarios current="0" show="0">
    <scenario name="A" locked="1" count="3" user="Microsoft Office User" comment="Creato da: Microsoft Office User il 30/03/2025">
      <inputCells r="C115" val="0,053"/>
      <inputCells r="D115" val="0,0580351906158357"/>
      <inputCells r="E115" val="0,0630706883948919"/>
    </scenario>
  </scenarios>
  <mergeCells count="17">
    <mergeCell ref="C3:H3"/>
    <mergeCell ref="A12:E12"/>
    <mergeCell ref="G12:K12"/>
    <mergeCell ref="M12:Q12"/>
    <mergeCell ref="C25:E26"/>
    <mergeCell ref="I26:K27"/>
    <mergeCell ref="O26:Q27"/>
    <mergeCell ref="A88:Q88"/>
    <mergeCell ref="C87:E87"/>
    <mergeCell ref="I87:K87"/>
    <mergeCell ref="I31:K33"/>
    <mergeCell ref="C83:E83"/>
    <mergeCell ref="I83:K83"/>
    <mergeCell ref="C84:E84"/>
    <mergeCell ref="I84:K84"/>
    <mergeCell ref="C86:E86"/>
    <mergeCell ref="I86:K8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41" r:id="rId4" name="Button 21">
              <controlPr defaultSize="0" print="0" autoFill="0" autoPict="0" macro="[0]!Set_Baseline_Scenario_Brand">
                <anchor moveWithCells="1" sizeWithCells="1">
                  <from>
                    <xdr:col>6</xdr:col>
                    <xdr:colOff>495300</xdr:colOff>
                    <xdr:row>91</xdr:row>
                    <xdr:rowOff>88900</xdr:rowOff>
                  </from>
                  <to>
                    <xdr:col>6</xdr:col>
                    <xdr:colOff>2019300</xdr:colOff>
                    <xdr:row>93</xdr:row>
                    <xdr:rowOff>114300</xdr:rowOff>
                  </to>
                </anchor>
              </controlPr>
            </control>
          </mc:Choice>
        </mc:AlternateContent>
        <mc:AlternateContent xmlns:mc="http://schemas.openxmlformats.org/markup-compatibility/2006">
          <mc:Choice Requires="x14">
            <control shapeId="5143" r:id="rId5" name="Button 23">
              <controlPr defaultSize="0" print="0" autoFill="0" autoPict="0" macro="[0]!Set_Pessimistic_Scenario_Brand">
                <anchor moveWithCells="1" sizeWithCells="1">
                  <from>
                    <xdr:col>6</xdr:col>
                    <xdr:colOff>495300</xdr:colOff>
                    <xdr:row>94</xdr:row>
                    <xdr:rowOff>12700</xdr:rowOff>
                  </from>
                  <to>
                    <xdr:col>6</xdr:col>
                    <xdr:colOff>2019300</xdr:colOff>
                    <xdr:row>96</xdr:row>
                    <xdr:rowOff>38100</xdr:rowOff>
                  </to>
                </anchor>
              </controlPr>
            </control>
          </mc:Choice>
        </mc:AlternateContent>
        <mc:AlternateContent xmlns:mc="http://schemas.openxmlformats.org/markup-compatibility/2006">
          <mc:Choice Requires="x14">
            <control shapeId="5144" r:id="rId6" name="Button 24">
              <controlPr defaultSize="0" print="0" autoFill="0" autoPict="0" macro="[0]!Set_Optimistic_Scenario_Brand">
                <anchor moveWithCells="1" sizeWithCells="1">
                  <from>
                    <xdr:col>6</xdr:col>
                    <xdr:colOff>482600</xdr:colOff>
                    <xdr:row>96</xdr:row>
                    <xdr:rowOff>127000</xdr:rowOff>
                  </from>
                  <to>
                    <xdr:col>6</xdr:col>
                    <xdr:colOff>2006600</xdr:colOff>
                    <xdr:row>98</xdr:row>
                    <xdr:rowOff>152400</xdr:rowOff>
                  </to>
                </anchor>
              </controlPr>
            </control>
          </mc:Choice>
        </mc:AlternateContent>
        <mc:AlternateContent xmlns:mc="http://schemas.openxmlformats.org/markup-compatibility/2006">
          <mc:Choice Requires="x14">
            <control shapeId="5145" r:id="rId7" name="Button 25">
              <controlPr defaultSize="0" print="0" autoFill="0" autoPict="0" macro="[0]!Set_Baseline_Scenario_Treatment">
                <anchor moveWithCells="1" sizeWithCells="1">
                  <from>
                    <xdr:col>6</xdr:col>
                    <xdr:colOff>495300</xdr:colOff>
                    <xdr:row>102</xdr:row>
                    <xdr:rowOff>114300</xdr:rowOff>
                  </from>
                  <to>
                    <xdr:col>6</xdr:col>
                    <xdr:colOff>2019300</xdr:colOff>
                    <xdr:row>104</xdr:row>
                    <xdr:rowOff>139700</xdr:rowOff>
                  </to>
                </anchor>
              </controlPr>
            </control>
          </mc:Choice>
        </mc:AlternateContent>
        <mc:AlternateContent xmlns:mc="http://schemas.openxmlformats.org/markup-compatibility/2006">
          <mc:Choice Requires="x14">
            <control shapeId="5146" r:id="rId8" name="Button 26">
              <controlPr defaultSize="0" print="0" autoFill="0" autoPict="0" macro="[0]!Set_Pessimistic_Scenario_Treatment">
                <anchor moveWithCells="1" sizeWithCells="1">
                  <from>
                    <xdr:col>6</xdr:col>
                    <xdr:colOff>495300</xdr:colOff>
                    <xdr:row>105</xdr:row>
                    <xdr:rowOff>76200</xdr:rowOff>
                  </from>
                  <to>
                    <xdr:col>6</xdr:col>
                    <xdr:colOff>2019300</xdr:colOff>
                    <xdr:row>107</xdr:row>
                    <xdr:rowOff>101600</xdr:rowOff>
                  </to>
                </anchor>
              </controlPr>
            </control>
          </mc:Choice>
        </mc:AlternateContent>
        <mc:AlternateContent xmlns:mc="http://schemas.openxmlformats.org/markup-compatibility/2006">
          <mc:Choice Requires="x14">
            <control shapeId="5147" r:id="rId9" name="Button 27">
              <controlPr defaultSize="0" print="0" autoFill="0" autoPict="0" macro="[0]!Set_Optimistic_Scenario_Treatment">
                <anchor moveWithCells="1" sizeWithCells="1">
                  <from>
                    <xdr:col>6</xdr:col>
                    <xdr:colOff>482600</xdr:colOff>
                    <xdr:row>108</xdr:row>
                    <xdr:rowOff>25400</xdr:rowOff>
                  </from>
                  <to>
                    <xdr:col>6</xdr:col>
                    <xdr:colOff>2006600</xdr:colOff>
                    <xdr:row>110</xdr:row>
                    <xdr:rowOff>50800</xdr:rowOff>
                  </to>
                </anchor>
              </controlPr>
            </control>
          </mc:Choice>
        </mc:AlternateContent>
        <mc:AlternateContent xmlns:mc="http://schemas.openxmlformats.org/markup-compatibility/2006">
          <mc:Choice Requires="x14">
            <control shapeId="5148" r:id="rId10" name="Button 28">
              <controlPr defaultSize="0" print="0" autoFill="0" autoPict="0" macro="[0]!Set_Baseline_Scenario_Exp">
                <anchor moveWithCells="1" sizeWithCells="1">
                  <from>
                    <xdr:col>12</xdr:col>
                    <xdr:colOff>495300</xdr:colOff>
                    <xdr:row>91</xdr:row>
                    <xdr:rowOff>88900</xdr:rowOff>
                  </from>
                  <to>
                    <xdr:col>12</xdr:col>
                    <xdr:colOff>2019300</xdr:colOff>
                    <xdr:row>93</xdr:row>
                    <xdr:rowOff>114300</xdr:rowOff>
                  </to>
                </anchor>
              </controlPr>
            </control>
          </mc:Choice>
        </mc:AlternateContent>
        <mc:AlternateContent xmlns:mc="http://schemas.openxmlformats.org/markup-compatibility/2006">
          <mc:Choice Requires="x14">
            <control shapeId="5149" r:id="rId11" name="Button 29">
              <controlPr defaultSize="0" print="0" autoFill="0" autoPict="0" macro="[0]!Set_Pessimistic_Scenario_Exp">
                <anchor moveWithCells="1" sizeWithCells="1">
                  <from>
                    <xdr:col>12</xdr:col>
                    <xdr:colOff>495300</xdr:colOff>
                    <xdr:row>94</xdr:row>
                    <xdr:rowOff>12700</xdr:rowOff>
                  </from>
                  <to>
                    <xdr:col>12</xdr:col>
                    <xdr:colOff>2019300</xdr:colOff>
                    <xdr:row>96</xdr:row>
                    <xdr:rowOff>38100</xdr:rowOff>
                  </to>
                </anchor>
              </controlPr>
            </control>
          </mc:Choice>
        </mc:AlternateContent>
        <mc:AlternateContent xmlns:mc="http://schemas.openxmlformats.org/markup-compatibility/2006">
          <mc:Choice Requires="x14">
            <control shapeId="5150" r:id="rId12" name="Button 30">
              <controlPr defaultSize="0" print="0" autoFill="0" autoPict="0" macro="[0]!Set_Optimistic_Scenario_Exp">
                <anchor moveWithCells="1" sizeWithCells="1">
                  <from>
                    <xdr:col>12</xdr:col>
                    <xdr:colOff>482600</xdr:colOff>
                    <xdr:row>96</xdr:row>
                    <xdr:rowOff>127000</xdr:rowOff>
                  </from>
                  <to>
                    <xdr:col>12</xdr:col>
                    <xdr:colOff>2006600</xdr:colOff>
                    <xdr:row>98</xdr:row>
                    <xdr:rowOff>152400</xdr:rowOff>
                  </to>
                </anchor>
              </controlPr>
            </control>
          </mc:Choice>
        </mc:AlternateContent>
        <mc:AlternateContent xmlns:mc="http://schemas.openxmlformats.org/markup-compatibility/2006">
          <mc:Choice Requires="x14">
            <control shapeId="5151" r:id="rId13" name="Button 31">
              <controlPr defaultSize="0" print="0" autoFill="0" autoPict="0" macro="[0]!Set_Baseline_Scenario_ChangeBudget">
                <anchor moveWithCells="1" sizeWithCells="1">
                  <from>
                    <xdr:col>12</xdr:col>
                    <xdr:colOff>495300</xdr:colOff>
                    <xdr:row>102</xdr:row>
                    <xdr:rowOff>88900</xdr:rowOff>
                  </from>
                  <to>
                    <xdr:col>12</xdr:col>
                    <xdr:colOff>2019300</xdr:colOff>
                    <xdr:row>104</xdr:row>
                    <xdr:rowOff>114300</xdr:rowOff>
                  </to>
                </anchor>
              </controlPr>
            </control>
          </mc:Choice>
        </mc:AlternateContent>
        <mc:AlternateContent xmlns:mc="http://schemas.openxmlformats.org/markup-compatibility/2006">
          <mc:Choice Requires="x14">
            <control shapeId="5152" r:id="rId14" name="Button 32">
              <controlPr defaultSize="0" print="0" autoFill="0" autoPict="0" macro="[0]!Set_Pessimistic_Scenario_ChangeBudget">
                <anchor moveWithCells="1" sizeWithCells="1">
                  <from>
                    <xdr:col>12</xdr:col>
                    <xdr:colOff>495300</xdr:colOff>
                    <xdr:row>105</xdr:row>
                    <xdr:rowOff>12700</xdr:rowOff>
                  </from>
                  <to>
                    <xdr:col>12</xdr:col>
                    <xdr:colOff>2019300</xdr:colOff>
                    <xdr:row>107</xdr:row>
                    <xdr:rowOff>38100</xdr:rowOff>
                  </to>
                </anchor>
              </controlPr>
            </control>
          </mc:Choice>
        </mc:AlternateContent>
        <mc:AlternateContent xmlns:mc="http://schemas.openxmlformats.org/markup-compatibility/2006">
          <mc:Choice Requires="x14">
            <control shapeId="5153" r:id="rId15" name="Button 33">
              <controlPr defaultSize="0" print="0" autoFill="0" autoPict="0" macro="[0]!Set_Baseline_Scenario_ChangeBudget">
                <anchor moveWithCells="1" sizeWithCells="1">
                  <from>
                    <xdr:col>12</xdr:col>
                    <xdr:colOff>482600</xdr:colOff>
                    <xdr:row>107</xdr:row>
                    <xdr:rowOff>127000</xdr:rowOff>
                  </from>
                  <to>
                    <xdr:col>12</xdr:col>
                    <xdr:colOff>2006600</xdr:colOff>
                    <xdr:row>109</xdr:row>
                    <xdr:rowOff>152400</xdr:rowOff>
                  </to>
                </anchor>
              </controlPr>
            </control>
          </mc:Choice>
        </mc:AlternateContent>
        <mc:AlternateContent xmlns:mc="http://schemas.openxmlformats.org/markup-compatibility/2006">
          <mc:Choice Requires="x14">
            <control shapeId="5154" r:id="rId16" name="Button 34">
              <controlPr defaultSize="0" print="0" autoFill="0" autoPict="0" macro="[0]!Set_Baseline_Scenario_Staff">
                <anchor moveWithCells="1" sizeWithCells="1">
                  <from>
                    <xdr:col>12</xdr:col>
                    <xdr:colOff>495300</xdr:colOff>
                    <xdr:row>113</xdr:row>
                    <xdr:rowOff>88900</xdr:rowOff>
                  </from>
                  <to>
                    <xdr:col>12</xdr:col>
                    <xdr:colOff>2019300</xdr:colOff>
                    <xdr:row>115</xdr:row>
                    <xdr:rowOff>114300</xdr:rowOff>
                  </to>
                </anchor>
              </controlPr>
            </control>
          </mc:Choice>
        </mc:AlternateContent>
        <mc:AlternateContent xmlns:mc="http://schemas.openxmlformats.org/markup-compatibility/2006">
          <mc:Choice Requires="x14">
            <control shapeId="5155" r:id="rId17" name="Button 35">
              <controlPr defaultSize="0" print="0" autoFill="0" autoPict="0" macro="[0]!Set_Pessimistic_Scenario_Staff">
                <anchor moveWithCells="1" sizeWithCells="1">
                  <from>
                    <xdr:col>12</xdr:col>
                    <xdr:colOff>495300</xdr:colOff>
                    <xdr:row>116</xdr:row>
                    <xdr:rowOff>12700</xdr:rowOff>
                  </from>
                  <to>
                    <xdr:col>12</xdr:col>
                    <xdr:colOff>2019300</xdr:colOff>
                    <xdr:row>118</xdr:row>
                    <xdr:rowOff>38100</xdr:rowOff>
                  </to>
                </anchor>
              </controlPr>
            </control>
          </mc:Choice>
        </mc:AlternateContent>
        <mc:AlternateContent xmlns:mc="http://schemas.openxmlformats.org/markup-compatibility/2006">
          <mc:Choice Requires="x14">
            <control shapeId="5156" r:id="rId18" name="Button 36">
              <controlPr defaultSize="0" print="0" autoFill="0" autoPict="0" macro="[0]!Set_Optimistic_Scenario_Staff">
                <anchor moveWithCells="1" sizeWithCells="1">
                  <from>
                    <xdr:col>12</xdr:col>
                    <xdr:colOff>482600</xdr:colOff>
                    <xdr:row>118</xdr:row>
                    <xdr:rowOff>127000</xdr:rowOff>
                  </from>
                  <to>
                    <xdr:col>12</xdr:col>
                    <xdr:colOff>2006600</xdr:colOff>
                    <xdr:row>120</xdr:row>
                    <xdr:rowOff>152400</xdr:rowOff>
                  </to>
                </anchor>
              </controlPr>
            </control>
          </mc:Choice>
        </mc:AlternateContent>
        <mc:AlternateContent xmlns:mc="http://schemas.openxmlformats.org/markup-compatibility/2006">
          <mc:Choice Requires="x14">
            <control shapeId="5158" r:id="rId19" name="Button 38">
              <controlPr defaultSize="0" print="0" autoFill="0" autoPict="0" macro="[0]!Set_Baseline_Scenario_Clients">
                <anchor moveWithCells="1" sizeWithCells="1">
                  <from>
                    <xdr:col>6</xdr:col>
                    <xdr:colOff>495300</xdr:colOff>
                    <xdr:row>113</xdr:row>
                    <xdr:rowOff>88900</xdr:rowOff>
                  </from>
                  <to>
                    <xdr:col>6</xdr:col>
                    <xdr:colOff>2019300</xdr:colOff>
                    <xdr:row>115</xdr:row>
                    <xdr:rowOff>88900</xdr:rowOff>
                  </to>
                </anchor>
              </controlPr>
            </control>
          </mc:Choice>
        </mc:AlternateContent>
        <mc:AlternateContent xmlns:mc="http://schemas.openxmlformats.org/markup-compatibility/2006">
          <mc:Choice Requires="x14">
            <control shapeId="5163" r:id="rId20" name="Button 43">
              <controlPr defaultSize="0" print="0" autoFill="0" autoPict="0" macro="[0]!Set_Pessimistic_Scenario_Clients">
                <anchor moveWithCells="1" sizeWithCells="1">
                  <from>
                    <xdr:col>6</xdr:col>
                    <xdr:colOff>495300</xdr:colOff>
                    <xdr:row>116</xdr:row>
                    <xdr:rowOff>12700</xdr:rowOff>
                  </from>
                  <to>
                    <xdr:col>6</xdr:col>
                    <xdr:colOff>2019300</xdr:colOff>
                    <xdr:row>118</xdr:row>
                    <xdr:rowOff>12700</xdr:rowOff>
                  </to>
                </anchor>
              </controlPr>
            </control>
          </mc:Choice>
        </mc:AlternateContent>
        <mc:AlternateContent xmlns:mc="http://schemas.openxmlformats.org/markup-compatibility/2006">
          <mc:Choice Requires="x14">
            <control shapeId="5164" r:id="rId21" name="Button 44">
              <controlPr defaultSize="0" print="0" autoFill="0" autoPict="0" macro="[0]!Set_Optimistic_Scenario_Clients">
                <anchor moveWithCells="1" sizeWithCells="1">
                  <from>
                    <xdr:col>6</xdr:col>
                    <xdr:colOff>495300</xdr:colOff>
                    <xdr:row>118</xdr:row>
                    <xdr:rowOff>88900</xdr:rowOff>
                  </from>
                  <to>
                    <xdr:col>6</xdr:col>
                    <xdr:colOff>2019300</xdr:colOff>
                    <xdr:row>120</xdr:row>
                    <xdr:rowOff>114300</xdr:rowOff>
                  </to>
                </anchor>
              </controlPr>
            </control>
          </mc:Choice>
        </mc:AlternateContent>
        <mc:AlternateContent xmlns:mc="http://schemas.openxmlformats.org/markup-compatibility/2006">
          <mc:Choice Requires="x14">
            <control shapeId="5165" r:id="rId22" name="Button 45">
              <controlPr defaultSize="0" print="0" autoFill="0" autoPict="0" macro="[0]!Set_Baseline_Scenario_BaseVet">
                <anchor moveWithCells="1" sizeWithCells="1">
                  <from>
                    <xdr:col>6</xdr:col>
                    <xdr:colOff>495300</xdr:colOff>
                    <xdr:row>123</xdr:row>
                    <xdr:rowOff>88900</xdr:rowOff>
                  </from>
                  <to>
                    <xdr:col>6</xdr:col>
                    <xdr:colOff>2019300</xdr:colOff>
                    <xdr:row>125</xdr:row>
                    <xdr:rowOff>114300</xdr:rowOff>
                  </to>
                </anchor>
              </controlPr>
            </control>
          </mc:Choice>
        </mc:AlternateContent>
        <mc:AlternateContent xmlns:mc="http://schemas.openxmlformats.org/markup-compatibility/2006">
          <mc:Choice Requires="x14">
            <control shapeId="5166" r:id="rId23" name="Button 46">
              <controlPr defaultSize="0" print="0" autoFill="0" autoPict="0" macro="[0]!Set_Pessimistic_Scenario_BaseVet">
                <anchor moveWithCells="1" sizeWithCells="1">
                  <from>
                    <xdr:col>6</xdr:col>
                    <xdr:colOff>495300</xdr:colOff>
                    <xdr:row>126</xdr:row>
                    <xdr:rowOff>12700</xdr:rowOff>
                  </from>
                  <to>
                    <xdr:col>6</xdr:col>
                    <xdr:colOff>2019300</xdr:colOff>
                    <xdr:row>128</xdr:row>
                    <xdr:rowOff>38100</xdr:rowOff>
                  </to>
                </anchor>
              </controlPr>
            </control>
          </mc:Choice>
        </mc:AlternateContent>
        <mc:AlternateContent xmlns:mc="http://schemas.openxmlformats.org/markup-compatibility/2006">
          <mc:Choice Requires="x14">
            <control shapeId="5167" r:id="rId24" name="Button 47">
              <controlPr defaultSize="0" print="0" autoFill="0" autoPict="0" macro="[0]!Set_Optimistic_Scenario_BaseVet">
                <anchor moveWithCells="1" sizeWithCells="1">
                  <from>
                    <xdr:col>6</xdr:col>
                    <xdr:colOff>482600</xdr:colOff>
                    <xdr:row>128</xdr:row>
                    <xdr:rowOff>127000</xdr:rowOff>
                  </from>
                  <to>
                    <xdr:col>6</xdr:col>
                    <xdr:colOff>2006600</xdr:colOff>
                    <xdr:row>130</xdr:row>
                    <xdr:rowOff>152400</xdr:rowOff>
                  </to>
                </anchor>
              </controlPr>
            </control>
          </mc:Choice>
        </mc:AlternateContent>
        <mc:AlternateContent xmlns:mc="http://schemas.openxmlformats.org/markup-compatibility/2006">
          <mc:Choice Requires="x14">
            <control shapeId="5168" r:id="rId25" name="Button 48">
              <controlPr defaultSize="0" print="0" autoFill="0" autoPict="0" macro="[0]!Set_Baseline_Scenario_SpecVet">
                <anchor moveWithCells="1" sizeWithCells="1">
                  <from>
                    <xdr:col>12</xdr:col>
                    <xdr:colOff>495300</xdr:colOff>
                    <xdr:row>123</xdr:row>
                    <xdr:rowOff>88900</xdr:rowOff>
                  </from>
                  <to>
                    <xdr:col>12</xdr:col>
                    <xdr:colOff>2019300</xdr:colOff>
                    <xdr:row>125</xdr:row>
                    <xdr:rowOff>114300</xdr:rowOff>
                  </to>
                </anchor>
              </controlPr>
            </control>
          </mc:Choice>
        </mc:AlternateContent>
        <mc:AlternateContent xmlns:mc="http://schemas.openxmlformats.org/markup-compatibility/2006">
          <mc:Choice Requires="x14">
            <control shapeId="5169" r:id="rId26" name="Button 49">
              <controlPr defaultSize="0" print="0" autoFill="0" autoPict="0" macro="[0]!Set_Pessimistic_Scenario_SpecVet">
                <anchor moveWithCells="1" sizeWithCells="1">
                  <from>
                    <xdr:col>12</xdr:col>
                    <xdr:colOff>495300</xdr:colOff>
                    <xdr:row>126</xdr:row>
                    <xdr:rowOff>12700</xdr:rowOff>
                  </from>
                  <to>
                    <xdr:col>12</xdr:col>
                    <xdr:colOff>2019300</xdr:colOff>
                    <xdr:row>128</xdr:row>
                    <xdr:rowOff>38100</xdr:rowOff>
                  </to>
                </anchor>
              </controlPr>
            </control>
          </mc:Choice>
        </mc:AlternateContent>
        <mc:AlternateContent xmlns:mc="http://schemas.openxmlformats.org/markup-compatibility/2006">
          <mc:Choice Requires="x14">
            <control shapeId="5170" r:id="rId27" name="Button 50">
              <controlPr defaultSize="0" print="0" autoFill="0" autoPict="0" macro="[0]!Set_Optimistic_Scenario_SpecVet">
                <anchor moveWithCells="1" sizeWithCells="1">
                  <from>
                    <xdr:col>12</xdr:col>
                    <xdr:colOff>482600</xdr:colOff>
                    <xdr:row>128</xdr:row>
                    <xdr:rowOff>127000</xdr:rowOff>
                  </from>
                  <to>
                    <xdr:col>12</xdr:col>
                    <xdr:colOff>2006600</xdr:colOff>
                    <xdr:row>130</xdr:row>
                    <xdr:rowOff>152400</xdr:rowOff>
                  </to>
                </anchor>
              </controlPr>
            </control>
          </mc:Choice>
        </mc:AlternateContent>
        <mc:AlternateContent xmlns:mc="http://schemas.openxmlformats.org/markup-compatibility/2006">
          <mc:Choice Requires="x14">
            <control shapeId="5171" r:id="rId28" name="Button 51">
              <controlPr defaultSize="0" print="0" autoFill="0" autoPict="0" macro="[0]!Apply_All_Baseline">
                <anchor moveWithCells="1" sizeWithCells="1">
                  <from>
                    <xdr:col>6</xdr:col>
                    <xdr:colOff>482600</xdr:colOff>
                    <xdr:row>134</xdr:row>
                    <xdr:rowOff>139700</xdr:rowOff>
                  </from>
                  <to>
                    <xdr:col>6</xdr:col>
                    <xdr:colOff>2019300</xdr:colOff>
                    <xdr:row>136</xdr:row>
                    <xdr:rowOff>165100</xdr:rowOff>
                  </to>
                </anchor>
              </controlPr>
            </control>
          </mc:Choice>
        </mc:AlternateContent>
        <mc:AlternateContent xmlns:mc="http://schemas.openxmlformats.org/markup-compatibility/2006">
          <mc:Choice Requires="x14">
            <control shapeId="5172" r:id="rId29" name="Button 52">
              <controlPr defaultSize="0" print="0" autoFill="0" autoPict="0" macro="[0]!Apply_All_Optimistic">
                <anchor moveWithCells="1" sizeWithCells="1">
                  <from>
                    <xdr:col>6</xdr:col>
                    <xdr:colOff>469900</xdr:colOff>
                    <xdr:row>141</xdr:row>
                    <xdr:rowOff>114300</xdr:rowOff>
                  </from>
                  <to>
                    <xdr:col>6</xdr:col>
                    <xdr:colOff>2006600</xdr:colOff>
                    <xdr:row>143</xdr:row>
                    <xdr:rowOff>139700</xdr:rowOff>
                  </to>
                </anchor>
              </controlPr>
            </control>
          </mc:Choice>
        </mc:AlternateContent>
        <mc:AlternateContent xmlns:mc="http://schemas.openxmlformats.org/markup-compatibility/2006">
          <mc:Choice Requires="x14">
            <control shapeId="5173" r:id="rId30" name="Button 53">
              <controlPr defaultSize="0" print="0" autoFill="0" autoPict="0" macro="[0]!Apply_All_Pessimistic">
                <anchor moveWithCells="1" sizeWithCells="1">
                  <from>
                    <xdr:col>6</xdr:col>
                    <xdr:colOff>495300</xdr:colOff>
                    <xdr:row>138</xdr:row>
                    <xdr:rowOff>25400</xdr:rowOff>
                  </from>
                  <to>
                    <xdr:col>6</xdr:col>
                    <xdr:colOff>2006600</xdr:colOff>
                    <xdr:row>140</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C1931-4FC1-A94D-9CCF-DB8213C0BAD3}">
  <sheetPr codeName="Foglio4"/>
  <dimension ref="A1:AM303"/>
  <sheetViews>
    <sheetView showGridLines="0" topLeftCell="A246" zoomScale="65" zoomScaleNormal="68" workbookViewId="0">
      <selection activeCell="L155" sqref="L155:L175"/>
    </sheetView>
  </sheetViews>
  <sheetFormatPr baseColWidth="10" defaultColWidth="9.140625" defaultRowHeight="14" x14ac:dyDescent="0.2"/>
  <cols>
    <col min="1" max="1" width="25.7109375" style="5" customWidth="1"/>
    <col min="2" max="5" width="10.7109375" style="5" customWidth="1"/>
    <col min="6" max="6" width="20" style="5" customWidth="1"/>
    <col min="7" max="7" width="49.28515625" style="5" bestFit="1" customWidth="1"/>
    <col min="8" max="9" width="15.7109375" style="5" customWidth="1"/>
    <col min="10" max="10" width="15.28515625" style="5" customWidth="1"/>
    <col min="11" max="12" width="16.42578125" style="5" customWidth="1"/>
    <col min="13" max="13" width="48.7109375" style="5" customWidth="1"/>
    <col min="14" max="15" width="14.5703125" style="5" customWidth="1"/>
    <col min="16" max="16" width="13.7109375" style="5" customWidth="1"/>
    <col min="17" max="17" width="14.5703125" style="5" customWidth="1"/>
    <col min="18" max="18" width="14.85546875" style="5" bestFit="1" customWidth="1"/>
    <col min="19" max="19" width="12.85546875" style="5" bestFit="1" customWidth="1"/>
    <col min="20" max="36" width="9.140625" style="5"/>
    <col min="37" max="37" width="1.140625" style="5" customWidth="1"/>
    <col min="38" max="16384" width="9.140625" style="5"/>
  </cols>
  <sheetData>
    <row r="1" spans="1:37" ht="15" thickTop="1" x14ac:dyDescent="0.2">
      <c r="A1" s="2"/>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4"/>
    </row>
    <row r="2" spans="1:37" ht="15" thickBot="1" x14ac:dyDescent="0.25">
      <c r="A2" s="6"/>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8"/>
      <c r="AK2" s="11"/>
    </row>
    <row r="3" spans="1:37" ht="28" thickBot="1" x14ac:dyDescent="0.35">
      <c r="A3" s="6"/>
      <c r="B3" s="7"/>
      <c r="C3" s="9" t="s">
        <v>49</v>
      </c>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1"/>
    </row>
    <row r="4" spans="1:37" ht="22" x14ac:dyDescent="0.25">
      <c r="A4" s="6"/>
      <c r="B4" s="7"/>
      <c r="C4" s="12" t="s">
        <v>50</v>
      </c>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8"/>
    </row>
    <row r="5" spans="1:37" x14ac:dyDescent="0.2">
      <c r="A5" s="6"/>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8"/>
    </row>
    <row r="6" spans="1:37" x14ac:dyDescent="0.2">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8"/>
    </row>
    <row r="7" spans="1:37" x14ac:dyDescent="0.2">
      <c r="A7" s="27"/>
    </row>
    <row r="8" spans="1:37" x14ac:dyDescent="0.2">
      <c r="A8" s="28"/>
      <c r="B8" s="13" t="s">
        <v>3</v>
      </c>
    </row>
    <row r="9" spans="1:37" x14ac:dyDescent="0.2">
      <c r="A9" s="29"/>
      <c r="B9" s="13" t="s">
        <v>4</v>
      </c>
    </row>
    <row r="10" spans="1:37" x14ac:dyDescent="0.2">
      <c r="A10" s="27"/>
    </row>
    <row r="11" spans="1:37" s="51" customFormat="1" ht="15" x14ac:dyDescent="0.2">
      <c r="A11" s="49" t="s">
        <v>6</v>
      </c>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row>
    <row r="12" spans="1:37" ht="22" x14ac:dyDescent="0.25">
      <c r="A12" s="173" t="s">
        <v>102</v>
      </c>
      <c r="B12" s="173"/>
      <c r="C12" s="173"/>
      <c r="D12" s="173"/>
      <c r="E12" s="173"/>
      <c r="F12" s="14"/>
      <c r="G12" s="173" t="s">
        <v>103</v>
      </c>
      <c r="H12" s="173"/>
      <c r="I12" s="173"/>
      <c r="J12" s="173"/>
      <c r="K12" s="173"/>
      <c r="M12" s="173" t="s">
        <v>104</v>
      </c>
      <c r="N12" s="173"/>
      <c r="O12" s="173"/>
      <c r="P12" s="173"/>
      <c r="Q12" s="173"/>
    </row>
    <row r="13" spans="1:37" ht="15" thickBot="1" x14ac:dyDescent="0.25">
      <c r="A13" s="16" t="s">
        <v>53</v>
      </c>
      <c r="B13" s="16"/>
      <c r="C13" s="16"/>
      <c r="D13" s="16"/>
      <c r="E13" s="16"/>
      <c r="G13" s="16" t="s">
        <v>51</v>
      </c>
      <c r="H13" s="16"/>
      <c r="I13" s="16"/>
      <c r="J13" s="16"/>
      <c r="K13" s="16"/>
      <c r="L13" s="1"/>
      <c r="M13" s="16" t="s">
        <v>52</v>
      </c>
      <c r="N13" s="16"/>
      <c r="O13" s="16"/>
      <c r="P13" s="16"/>
      <c r="Q13" s="16"/>
    </row>
    <row r="14" spans="1:37" x14ac:dyDescent="0.2">
      <c r="B14" s="30">
        <v>2024</v>
      </c>
      <c r="C14" s="30">
        <v>2025</v>
      </c>
      <c r="D14" s="30">
        <v>2026</v>
      </c>
      <c r="E14" s="30">
        <v>2027</v>
      </c>
      <c r="H14" s="30">
        <v>2025</v>
      </c>
      <c r="I14" s="30">
        <v>2026</v>
      </c>
      <c r="J14" s="30">
        <v>2027</v>
      </c>
      <c r="K14" s="30">
        <v>2028</v>
      </c>
      <c r="N14" s="30">
        <v>2024</v>
      </c>
      <c r="O14" s="30">
        <v>2025</v>
      </c>
      <c r="P14" s="30">
        <v>2026</v>
      </c>
      <c r="Q14" s="30">
        <v>2027</v>
      </c>
    </row>
    <row r="15" spans="1:37" x14ac:dyDescent="0.2">
      <c r="A15" s="1" t="s">
        <v>12</v>
      </c>
      <c r="B15" s="17">
        <f>'Input Data'!B12</f>
        <v>80000</v>
      </c>
      <c r="C15" s="18">
        <f>B15*(1+C16)</f>
        <v>81600</v>
      </c>
      <c r="D15" s="18">
        <f>C15*(1+D16)</f>
        <v>83232</v>
      </c>
      <c r="E15" s="18">
        <f>D15*(1+E16)</f>
        <v>84896.639999999999</v>
      </c>
      <c r="G15" s="1" t="s">
        <v>12</v>
      </c>
      <c r="H15" s="17">
        <f>'Input Data'!F12</f>
        <v>20000</v>
      </c>
      <c r="I15" s="18">
        <f>H15*(1+I16)</f>
        <v>20700</v>
      </c>
      <c r="J15" s="18">
        <f t="shared" ref="J15:K15" si="0">I15*(1+J16)</f>
        <v>21424.5</v>
      </c>
      <c r="K15" s="18">
        <f t="shared" si="0"/>
        <v>22174.357499999998</v>
      </c>
      <c r="M15" s="1" t="s">
        <v>12</v>
      </c>
      <c r="N15" s="18">
        <f>B15+H15</f>
        <v>100000</v>
      </c>
      <c r="O15" s="18">
        <f>C15+I15</f>
        <v>102300</v>
      </c>
      <c r="P15" s="18">
        <f>D15+J15</f>
        <v>104656.5</v>
      </c>
      <c r="Q15" s="18">
        <f>E15+K15</f>
        <v>107070.9975</v>
      </c>
    </row>
    <row r="16" spans="1:37" x14ac:dyDescent="0.2">
      <c r="A16" s="48" t="s">
        <v>13</v>
      </c>
      <c r="B16" s="40"/>
      <c r="C16" s="19">
        <f>'Input Data'!$B$13</f>
        <v>0.02</v>
      </c>
      <c r="D16" s="19">
        <f>'Input Data'!$B$13</f>
        <v>0.02</v>
      </c>
      <c r="E16" s="19">
        <f>'Input Data'!$B$13</f>
        <v>0.02</v>
      </c>
      <c r="G16" s="48" t="s">
        <v>13</v>
      </c>
      <c r="H16" s="40"/>
      <c r="I16" s="37">
        <f>'Input Data'!$F$13</f>
        <v>3.5000000000000003E-2</v>
      </c>
      <c r="J16" s="37">
        <f>'Input Data'!$F$13</f>
        <v>3.5000000000000003E-2</v>
      </c>
      <c r="K16" s="37">
        <f>'Input Data'!$F$13</f>
        <v>3.5000000000000003E-2</v>
      </c>
      <c r="L16" s="21"/>
      <c r="M16" s="48" t="s">
        <v>13</v>
      </c>
      <c r="N16" s="32"/>
      <c r="O16" s="41">
        <f>O15/N15-1</f>
        <v>2.2999999999999909E-2</v>
      </c>
      <c r="P16" s="41">
        <f>P15/O15-1</f>
        <v>2.3035190615835699E-2</v>
      </c>
      <c r="Q16" s="41">
        <f>Q15/P15-1</f>
        <v>2.3070688394891903E-2</v>
      </c>
      <c r="R16" s="32"/>
    </row>
    <row r="17" spans="1:18" x14ac:dyDescent="0.2">
      <c r="A17" s="1"/>
      <c r="B17" s="40"/>
      <c r="C17" s="40"/>
      <c r="D17" s="40"/>
      <c r="E17" s="40"/>
      <c r="G17" s="1"/>
      <c r="H17" s="40"/>
      <c r="I17" s="40"/>
      <c r="J17" s="40"/>
      <c r="K17" s="40"/>
      <c r="L17" s="21"/>
      <c r="M17" s="1"/>
      <c r="N17" s="43"/>
      <c r="O17" s="43"/>
      <c r="P17" s="43"/>
      <c r="Q17" s="43"/>
      <c r="R17" s="32"/>
    </row>
    <row r="18" spans="1:18" ht="15" thickBot="1" x14ac:dyDescent="0.25">
      <c r="A18" s="16" t="s">
        <v>54</v>
      </c>
      <c r="B18" s="16"/>
      <c r="C18" s="16"/>
      <c r="D18" s="16"/>
      <c r="E18" s="16"/>
      <c r="G18" s="16" t="s">
        <v>71</v>
      </c>
      <c r="H18" s="16"/>
      <c r="I18" s="16"/>
      <c r="J18" s="16"/>
      <c r="K18" s="16"/>
      <c r="L18" s="21"/>
      <c r="M18" s="16" t="s">
        <v>95</v>
      </c>
      <c r="N18" s="16"/>
      <c r="O18" s="16"/>
      <c r="P18" s="16"/>
      <c r="Q18" s="16"/>
      <c r="R18" s="32"/>
    </row>
    <row r="19" spans="1:18" x14ac:dyDescent="0.2">
      <c r="B19" s="30">
        <v>2024</v>
      </c>
      <c r="C19" s="30">
        <v>2025</v>
      </c>
      <c r="D19" s="30">
        <v>2026</v>
      </c>
      <c r="E19" s="30">
        <v>2027</v>
      </c>
      <c r="H19" s="30">
        <v>2024</v>
      </c>
      <c r="I19" s="30">
        <v>2025</v>
      </c>
      <c r="J19" s="30">
        <v>2026</v>
      </c>
      <c r="K19" s="30">
        <v>2027</v>
      </c>
      <c r="L19" s="21"/>
      <c r="N19" s="30">
        <v>2024</v>
      </c>
      <c r="O19" s="30">
        <v>2025</v>
      </c>
      <c r="P19" s="30">
        <v>2026</v>
      </c>
      <c r="Q19" s="30">
        <v>2027</v>
      </c>
      <c r="R19" s="32"/>
    </row>
    <row r="20" spans="1:18" x14ac:dyDescent="0.2">
      <c r="A20" s="1" t="s">
        <v>55</v>
      </c>
      <c r="B20" s="30"/>
      <c r="C20" s="30"/>
      <c r="D20" s="30"/>
      <c r="E20" s="30"/>
      <c r="G20" s="1" t="s">
        <v>55</v>
      </c>
      <c r="H20" s="30"/>
      <c r="I20" s="30"/>
      <c r="J20" s="30"/>
      <c r="K20" s="30"/>
      <c r="L20" s="21"/>
      <c r="M20" s="1" t="s">
        <v>55</v>
      </c>
      <c r="N20" s="30"/>
      <c r="O20" s="30"/>
      <c r="P20" s="30"/>
      <c r="Q20" s="30"/>
      <c r="R20" s="32"/>
    </row>
    <row r="21" spans="1:18" x14ac:dyDescent="0.2">
      <c r="A21" s="5" t="s">
        <v>24</v>
      </c>
      <c r="B21" s="17">
        <f>'Input Data'!B16</f>
        <v>120000</v>
      </c>
      <c r="C21" s="18">
        <f t="shared" ref="C21:E24" si="1">B21*(1+$B$25)</f>
        <v>122400</v>
      </c>
      <c r="D21" s="18">
        <f t="shared" si="1"/>
        <v>124848</v>
      </c>
      <c r="E21" s="18">
        <f t="shared" si="1"/>
        <v>127344.96000000001</v>
      </c>
      <c r="G21" s="5" t="s">
        <v>24</v>
      </c>
      <c r="H21" s="17">
        <f>'Input Data'!F16</f>
        <v>25000</v>
      </c>
      <c r="I21" s="18">
        <f t="shared" ref="I21:K25" si="2">H21*(1+$H$26)</f>
        <v>25874.999999999996</v>
      </c>
      <c r="J21" s="18">
        <f t="shared" si="2"/>
        <v>26780.624999999993</v>
      </c>
      <c r="K21" s="18">
        <f t="shared" si="2"/>
        <v>27717.946874999991</v>
      </c>
      <c r="L21" s="21"/>
      <c r="M21" s="5" t="s">
        <v>24</v>
      </c>
      <c r="N21" s="18">
        <f>B21+H21</f>
        <v>145000</v>
      </c>
      <c r="O21" s="18">
        <f>C21+I21</f>
        <v>148275</v>
      </c>
      <c r="P21" s="18">
        <f>D21+J21</f>
        <v>151628.625</v>
      </c>
      <c r="Q21" s="18">
        <f>E21+K21</f>
        <v>155062.90687499999</v>
      </c>
      <c r="R21" s="32"/>
    </row>
    <row r="22" spans="1:18" x14ac:dyDescent="0.2">
      <c r="A22" s="5" t="s">
        <v>16</v>
      </c>
      <c r="B22" s="17">
        <f>'Input Data'!B17</f>
        <v>9000</v>
      </c>
      <c r="C22" s="18">
        <f t="shared" si="1"/>
        <v>9180</v>
      </c>
      <c r="D22" s="18">
        <f t="shared" si="1"/>
        <v>9363.6</v>
      </c>
      <c r="E22" s="18">
        <f t="shared" si="1"/>
        <v>9550.8720000000012</v>
      </c>
      <c r="G22" s="5" t="s">
        <v>16</v>
      </c>
      <c r="H22" s="17">
        <f>'Input Data'!F17</f>
        <v>2000</v>
      </c>
      <c r="I22" s="18">
        <f t="shared" si="2"/>
        <v>2070</v>
      </c>
      <c r="J22" s="18">
        <f t="shared" si="2"/>
        <v>2142.4499999999998</v>
      </c>
      <c r="K22" s="18">
        <f t="shared" si="2"/>
        <v>2217.4357499999996</v>
      </c>
      <c r="L22" s="21"/>
      <c r="M22" s="5" t="s">
        <v>16</v>
      </c>
      <c r="N22" s="18">
        <f>B22+H22</f>
        <v>11000</v>
      </c>
      <c r="O22" s="18">
        <f t="shared" ref="O22:Q24" si="3">N22*(1+$H$26)</f>
        <v>11385</v>
      </c>
      <c r="P22" s="18">
        <f t="shared" si="3"/>
        <v>11783.474999999999</v>
      </c>
      <c r="Q22" s="18">
        <f t="shared" si="3"/>
        <v>12195.896624999998</v>
      </c>
      <c r="R22" s="32"/>
    </row>
    <row r="23" spans="1:18" x14ac:dyDescent="0.2">
      <c r="A23" s="5" t="s">
        <v>17</v>
      </c>
      <c r="B23" s="17">
        <f>'Input Data'!B18</f>
        <v>21333</v>
      </c>
      <c r="C23" s="18">
        <f t="shared" si="1"/>
        <v>21759.66</v>
      </c>
      <c r="D23" s="18">
        <f t="shared" si="1"/>
        <v>22194.853200000001</v>
      </c>
      <c r="E23" s="18">
        <f t="shared" si="1"/>
        <v>22638.750264000002</v>
      </c>
      <c r="G23" s="5" t="s">
        <v>17</v>
      </c>
      <c r="H23" s="17">
        <f>'Input Data'!F18</f>
        <v>6800</v>
      </c>
      <c r="I23" s="18">
        <f t="shared" si="2"/>
        <v>7037.9999999999991</v>
      </c>
      <c r="J23" s="18">
        <f t="shared" si="2"/>
        <v>7284.3299999999981</v>
      </c>
      <c r="K23" s="18">
        <f t="shared" si="2"/>
        <v>7539.2815499999979</v>
      </c>
      <c r="L23" s="21"/>
      <c r="M23" s="5" t="s">
        <v>17</v>
      </c>
      <c r="N23" s="18">
        <f>B23+H23</f>
        <v>28133</v>
      </c>
      <c r="O23" s="18">
        <f t="shared" si="3"/>
        <v>29117.654999999999</v>
      </c>
      <c r="P23" s="18">
        <f t="shared" si="3"/>
        <v>30136.772924999997</v>
      </c>
      <c r="Q23" s="18">
        <f t="shared" si="3"/>
        <v>31191.559977374996</v>
      </c>
      <c r="R23" s="32"/>
    </row>
    <row r="24" spans="1:18" x14ac:dyDescent="0.2">
      <c r="A24" s="5" t="s">
        <v>26</v>
      </c>
      <c r="B24" s="17">
        <f>'Input Data'!B19</f>
        <v>10000</v>
      </c>
      <c r="C24" s="18">
        <f t="shared" si="1"/>
        <v>10200</v>
      </c>
      <c r="D24" s="18">
        <f t="shared" si="1"/>
        <v>10404</v>
      </c>
      <c r="E24" s="18">
        <f t="shared" si="1"/>
        <v>10612.08</v>
      </c>
      <c r="G24" s="5" t="s">
        <v>26</v>
      </c>
      <c r="H24" s="17">
        <f>'Input Data'!F19</f>
        <v>4300</v>
      </c>
      <c r="I24" s="18">
        <f>H24*(1+$H$26)</f>
        <v>4450.5</v>
      </c>
      <c r="J24" s="18">
        <f t="shared" si="2"/>
        <v>4606.2674999999999</v>
      </c>
      <c r="K24" s="18">
        <f t="shared" si="2"/>
        <v>4767.4868624999999</v>
      </c>
      <c r="L24" s="21"/>
      <c r="M24" s="5" t="s">
        <v>26</v>
      </c>
      <c r="N24" s="18">
        <f>B24+H24</f>
        <v>14300</v>
      </c>
      <c r="O24" s="18">
        <f t="shared" si="3"/>
        <v>14800.499999999998</v>
      </c>
      <c r="P24" s="18">
        <f t="shared" si="3"/>
        <v>15318.517499999996</v>
      </c>
      <c r="Q24" s="18">
        <f t="shared" si="3"/>
        <v>15854.665612499995</v>
      </c>
      <c r="R24" s="32"/>
    </row>
    <row r="25" spans="1:18" ht="14" customHeight="1" x14ac:dyDescent="0.2">
      <c r="A25" s="48" t="s">
        <v>56</v>
      </c>
      <c r="B25" s="60">
        <f>C16</f>
        <v>0.02</v>
      </c>
      <c r="C25" s="180" t="s">
        <v>57</v>
      </c>
      <c r="D25" s="180"/>
      <c r="E25" s="180"/>
      <c r="G25" s="5" t="s">
        <v>30</v>
      </c>
      <c r="H25" s="17">
        <f>'Input Data'!F21</f>
        <v>850</v>
      </c>
      <c r="I25" s="18">
        <f>H25*(1+$H$26)</f>
        <v>879.74999999999989</v>
      </c>
      <c r="J25" s="18">
        <f t="shared" si="2"/>
        <v>910.54124999999976</v>
      </c>
      <c r="K25" s="18">
        <f t="shared" si="2"/>
        <v>942.41019374999973</v>
      </c>
      <c r="L25" s="21"/>
      <c r="M25" s="5" t="s">
        <v>30</v>
      </c>
      <c r="N25" s="18">
        <f>H25</f>
        <v>850</v>
      </c>
      <c r="O25" s="18">
        <f>I25</f>
        <v>879.74999999999989</v>
      </c>
      <c r="P25" s="18">
        <f>J25</f>
        <v>910.54124999999976</v>
      </c>
      <c r="Q25" s="18">
        <f>K25</f>
        <v>942.41019374999973</v>
      </c>
      <c r="R25" s="32"/>
    </row>
    <row r="26" spans="1:18" x14ac:dyDescent="0.2">
      <c r="A26" s="1"/>
      <c r="B26" s="40"/>
      <c r="C26" s="180"/>
      <c r="D26" s="180"/>
      <c r="E26" s="180"/>
      <c r="G26" s="48" t="s">
        <v>58</v>
      </c>
      <c r="H26" s="45">
        <f>I16</f>
        <v>3.5000000000000003E-2</v>
      </c>
      <c r="I26" s="180" t="s">
        <v>60</v>
      </c>
      <c r="J26" s="180"/>
      <c r="K26" s="180"/>
      <c r="L26" s="21"/>
      <c r="M26" s="48" t="s">
        <v>58</v>
      </c>
      <c r="N26" s="45">
        <f>O21/N21-1</f>
        <v>2.2586206896551664E-2</v>
      </c>
      <c r="O26" s="180"/>
      <c r="P26" s="180"/>
      <c r="Q26" s="180"/>
      <c r="R26" s="32"/>
    </row>
    <row r="27" spans="1:18" x14ac:dyDescent="0.2">
      <c r="A27" s="5" t="s">
        <v>88</v>
      </c>
      <c r="B27" s="40"/>
      <c r="C27" s="40"/>
      <c r="D27" s="40"/>
      <c r="E27" s="40"/>
      <c r="I27" s="180"/>
      <c r="J27" s="180"/>
      <c r="K27" s="180"/>
      <c r="L27" s="21"/>
      <c r="O27" s="180"/>
      <c r="P27" s="180"/>
      <c r="Q27" s="180"/>
      <c r="R27" s="32"/>
    </row>
    <row r="28" spans="1:18" x14ac:dyDescent="0.2">
      <c r="B28" s="40"/>
      <c r="C28" s="40"/>
      <c r="D28" s="40"/>
      <c r="E28" s="40"/>
      <c r="G28" s="5" t="s">
        <v>29</v>
      </c>
      <c r="H28" s="17">
        <f>'Input Data'!F20</f>
        <v>6000</v>
      </c>
      <c r="I28" s="18">
        <f>H28*(1+$H$31)</f>
        <v>6300</v>
      </c>
      <c r="J28" s="18">
        <f t="shared" ref="J28:K28" si="4">I28*(1+$H$31)</f>
        <v>6615</v>
      </c>
      <c r="K28" s="18">
        <f t="shared" si="4"/>
        <v>6945.75</v>
      </c>
      <c r="L28" s="21"/>
      <c r="M28" s="5" t="s">
        <v>29</v>
      </c>
      <c r="N28" s="18">
        <f t="shared" ref="N28:Q30" si="5">H28</f>
        <v>6000</v>
      </c>
      <c r="O28" s="18">
        <f t="shared" si="5"/>
        <v>6300</v>
      </c>
      <c r="P28" s="18">
        <f t="shared" si="5"/>
        <v>6615</v>
      </c>
      <c r="Q28" s="18">
        <f t="shared" si="5"/>
        <v>6945.75</v>
      </c>
      <c r="R28" s="32"/>
    </row>
    <row r="29" spans="1:18" ht="15" customHeight="1" x14ac:dyDescent="0.2">
      <c r="A29" s="1"/>
      <c r="G29" s="5" t="s">
        <v>31</v>
      </c>
      <c r="H29" s="17">
        <f>'Input Data'!F22</f>
        <v>5000</v>
      </c>
      <c r="I29" s="18">
        <f t="shared" ref="I29:K30" si="6">H29*(1+$H$31)</f>
        <v>5250</v>
      </c>
      <c r="J29" s="18">
        <f t="shared" si="6"/>
        <v>5512.5</v>
      </c>
      <c r="K29" s="18">
        <f t="shared" si="6"/>
        <v>5788.125</v>
      </c>
      <c r="L29" s="21"/>
      <c r="M29" s="5" t="s">
        <v>31</v>
      </c>
      <c r="N29" s="18">
        <f t="shared" si="5"/>
        <v>5000</v>
      </c>
      <c r="O29" s="18">
        <f t="shared" si="5"/>
        <v>5250</v>
      </c>
      <c r="P29" s="18">
        <f t="shared" si="5"/>
        <v>5512.5</v>
      </c>
      <c r="Q29" s="18">
        <f t="shared" si="5"/>
        <v>5788.125</v>
      </c>
      <c r="R29" s="32"/>
    </row>
    <row r="30" spans="1:18" x14ac:dyDescent="0.2">
      <c r="B30" s="63"/>
      <c r="G30" s="5" t="s">
        <v>32</v>
      </c>
      <c r="H30" s="17">
        <f>'Input Data'!F23</f>
        <v>1500</v>
      </c>
      <c r="I30" s="18">
        <f t="shared" si="6"/>
        <v>1575</v>
      </c>
      <c r="J30" s="18">
        <f t="shared" si="6"/>
        <v>1653.75</v>
      </c>
      <c r="K30" s="18">
        <f t="shared" si="6"/>
        <v>1736.4375</v>
      </c>
      <c r="L30" s="21"/>
      <c r="M30" s="5" t="s">
        <v>32</v>
      </c>
      <c r="N30" s="18">
        <f t="shared" si="5"/>
        <v>1500</v>
      </c>
      <c r="O30" s="18">
        <f t="shared" si="5"/>
        <v>1575</v>
      </c>
      <c r="P30" s="18">
        <f t="shared" si="5"/>
        <v>1653.75</v>
      </c>
      <c r="Q30" s="18">
        <f t="shared" si="5"/>
        <v>1736.4375</v>
      </c>
      <c r="R30" s="32"/>
    </row>
    <row r="31" spans="1:18" x14ac:dyDescent="0.2">
      <c r="G31" s="48" t="s">
        <v>59</v>
      </c>
      <c r="H31" s="20">
        <v>0.05</v>
      </c>
      <c r="I31" s="181" t="s">
        <v>61</v>
      </c>
      <c r="J31" s="181"/>
      <c r="K31" s="181"/>
      <c r="L31" s="21"/>
      <c r="M31" s="48" t="s">
        <v>59</v>
      </c>
      <c r="N31" s="20">
        <f>O28/N28-1</f>
        <v>5.0000000000000044E-2</v>
      </c>
      <c r="O31" s="1"/>
      <c r="P31" s="1"/>
      <c r="Q31" s="1"/>
      <c r="R31" s="32"/>
    </row>
    <row r="32" spans="1:18" x14ac:dyDescent="0.2">
      <c r="G32" s="1"/>
      <c r="H32" s="40"/>
      <c r="I32" s="181"/>
      <c r="J32" s="181"/>
      <c r="K32" s="181"/>
      <c r="L32" s="21"/>
      <c r="M32" s="1"/>
      <c r="N32" s="40"/>
      <c r="O32" s="1"/>
      <c r="P32" s="1"/>
      <c r="Q32" s="1"/>
      <c r="R32" s="32"/>
    </row>
    <row r="33" spans="1:18" ht="15" thickBot="1" x14ac:dyDescent="0.25">
      <c r="F33"/>
      <c r="G33" s="1"/>
      <c r="H33" s="40"/>
      <c r="I33" s="181"/>
      <c r="J33" s="181"/>
      <c r="K33" s="181"/>
      <c r="L33" s="21"/>
      <c r="M33" s="16" t="s">
        <v>96</v>
      </c>
      <c r="N33" s="16"/>
      <c r="O33" s="16"/>
      <c r="P33" s="16"/>
      <c r="Q33" s="16"/>
      <c r="R33" s="32"/>
    </row>
    <row r="34" spans="1:18" x14ac:dyDescent="0.2">
      <c r="F34"/>
      <c r="G34" s="5" t="s">
        <v>88</v>
      </c>
      <c r="H34" s="40"/>
      <c r="I34" s="66"/>
      <c r="J34" s="66"/>
      <c r="K34" s="66"/>
      <c r="L34" s="1"/>
      <c r="N34" s="30">
        <v>2024</v>
      </c>
      <c r="O34" s="30">
        <v>2025</v>
      </c>
      <c r="P34" s="30">
        <v>2026</v>
      </c>
      <c r="Q34" s="30">
        <v>2027</v>
      </c>
      <c r="R34" s="32"/>
    </row>
    <row r="35" spans="1:18" x14ac:dyDescent="0.2">
      <c r="F35"/>
      <c r="G35" s="1"/>
      <c r="H35" s="1"/>
      <c r="I35" s="1"/>
      <c r="J35" s="1"/>
      <c r="K35" s="1"/>
      <c r="L35" s="1"/>
      <c r="M35" s="5" t="s">
        <v>68</v>
      </c>
      <c r="N35" s="18">
        <f>B38+H38</f>
        <v>40</v>
      </c>
      <c r="O35" s="18">
        <f>C38+I38</f>
        <v>40</v>
      </c>
      <c r="P35" s="18">
        <f>D38+J38</f>
        <v>40</v>
      </c>
      <c r="Q35" s="18">
        <f>E38+K38</f>
        <v>40</v>
      </c>
      <c r="R35" s="32"/>
    </row>
    <row r="36" spans="1:18" ht="15" thickBot="1" x14ac:dyDescent="0.25">
      <c r="A36" s="16" t="s">
        <v>77</v>
      </c>
      <c r="B36" s="16"/>
      <c r="C36" s="16"/>
      <c r="D36" s="16"/>
      <c r="E36" s="16"/>
      <c r="F36"/>
      <c r="G36" s="16" t="s">
        <v>79</v>
      </c>
      <c r="H36" s="16"/>
      <c r="I36" s="16"/>
      <c r="J36" s="16"/>
      <c r="K36" s="16"/>
      <c r="L36" s="1"/>
      <c r="M36" s="5" t="s">
        <v>69</v>
      </c>
      <c r="N36" s="18">
        <f>B39</f>
        <v>20</v>
      </c>
      <c r="O36" s="18">
        <f>C39</f>
        <v>20.399999999999999</v>
      </c>
      <c r="P36" s="18">
        <f>D39</f>
        <v>20.808</v>
      </c>
      <c r="Q36" s="18">
        <f>E39</f>
        <v>21.224160000000001</v>
      </c>
      <c r="R36" s="32"/>
    </row>
    <row r="37" spans="1:18" x14ac:dyDescent="0.2">
      <c r="B37" s="30">
        <v>2024</v>
      </c>
      <c r="C37" s="30">
        <v>2025</v>
      </c>
      <c r="D37" s="30">
        <v>2026</v>
      </c>
      <c r="E37" s="30">
        <v>2027</v>
      </c>
      <c r="F37"/>
      <c r="H37" s="30">
        <v>2024</v>
      </c>
      <c r="I37" s="30">
        <v>2025</v>
      </c>
      <c r="J37" s="30">
        <v>2026</v>
      </c>
      <c r="K37" s="30">
        <v>2027</v>
      </c>
      <c r="L37" s="1"/>
      <c r="M37" s="5" t="s">
        <v>70</v>
      </c>
      <c r="N37" s="18">
        <f>B40+H40</f>
        <v>155</v>
      </c>
      <c r="O37" s="18">
        <f>C40+I40</f>
        <v>158.625</v>
      </c>
      <c r="P37" s="18">
        <f>D40+J40</f>
        <v>162.34087500000001</v>
      </c>
      <c r="Q37" s="18">
        <f>E40+K40</f>
        <v>166.150085625</v>
      </c>
      <c r="R37" s="32"/>
    </row>
    <row r="38" spans="1:18" x14ac:dyDescent="0.2">
      <c r="A38" s="5" t="s">
        <v>68</v>
      </c>
      <c r="B38" s="17">
        <f>'Input Data'!$B40</f>
        <v>25</v>
      </c>
      <c r="C38" s="18">
        <f>'Input Data'!$B40</f>
        <v>25</v>
      </c>
      <c r="D38" s="18">
        <f>'Input Data'!$B40</f>
        <v>25</v>
      </c>
      <c r="E38" s="18">
        <f>'Input Data'!$B40</f>
        <v>25</v>
      </c>
      <c r="F38"/>
      <c r="G38" s="5" t="s">
        <v>68</v>
      </c>
      <c r="H38" s="17">
        <f>'Input Data'!$F40</f>
        <v>15</v>
      </c>
      <c r="I38" s="18">
        <f>'Input Data'!$F40</f>
        <v>15</v>
      </c>
      <c r="J38" s="18">
        <f>'Input Data'!$F40</f>
        <v>15</v>
      </c>
      <c r="K38" s="18">
        <f>'Input Data'!$F40</f>
        <v>15</v>
      </c>
      <c r="L38" s="1"/>
      <c r="M38" s="5" t="s">
        <v>72</v>
      </c>
      <c r="N38" s="18">
        <f>H39</f>
        <v>20</v>
      </c>
      <c r="O38" s="18">
        <f>I39</f>
        <v>20.7</v>
      </c>
      <c r="P38" s="18">
        <f>J39</f>
        <v>21.424499999999998</v>
      </c>
      <c r="Q38" s="18">
        <f>K39</f>
        <v>22.174357499999996</v>
      </c>
      <c r="R38" s="32"/>
    </row>
    <row r="39" spans="1:18" x14ac:dyDescent="0.2">
      <c r="A39" s="5" t="s">
        <v>69</v>
      </c>
      <c r="B39" s="17">
        <f>'Input Data'!B41</f>
        <v>20</v>
      </c>
      <c r="C39" s="18">
        <f t="shared" ref="C39:E40" si="7">B39*(1+$B$41)</f>
        <v>20.399999999999999</v>
      </c>
      <c r="D39" s="18">
        <f t="shared" si="7"/>
        <v>20.808</v>
      </c>
      <c r="E39" s="18">
        <f t="shared" si="7"/>
        <v>21.224160000000001</v>
      </c>
      <c r="F39"/>
      <c r="G39" s="5" t="s">
        <v>72</v>
      </c>
      <c r="H39" s="17">
        <f>'Input Data'!$F41</f>
        <v>20</v>
      </c>
      <c r="I39" s="18">
        <f t="shared" ref="I39:K40" si="8">H39*(1+$H$42)</f>
        <v>20.7</v>
      </c>
      <c r="J39" s="18">
        <f t="shared" si="8"/>
        <v>21.424499999999998</v>
      </c>
      <c r="K39" s="18">
        <f t="shared" si="8"/>
        <v>22.174357499999996</v>
      </c>
      <c r="L39" s="1"/>
      <c r="M39" s="5" t="s">
        <v>85</v>
      </c>
      <c r="N39" s="18">
        <f>H41</f>
        <v>7</v>
      </c>
      <c r="O39" s="18">
        <f>I41</f>
        <v>7.3500000000000005</v>
      </c>
      <c r="P39" s="18">
        <f>J41</f>
        <v>7.7175000000000011</v>
      </c>
      <c r="Q39" s="18">
        <f>K41</f>
        <v>8.1033750000000015</v>
      </c>
      <c r="R39" s="32"/>
    </row>
    <row r="40" spans="1:18" x14ac:dyDescent="0.2">
      <c r="A40" s="5" t="s">
        <v>70</v>
      </c>
      <c r="B40" s="17">
        <f>'Input Data'!B42</f>
        <v>120</v>
      </c>
      <c r="C40" s="18">
        <f t="shared" si="7"/>
        <v>122.4</v>
      </c>
      <c r="D40" s="18">
        <f t="shared" si="7"/>
        <v>124.84800000000001</v>
      </c>
      <c r="E40" s="18">
        <f t="shared" si="7"/>
        <v>127.34496000000001</v>
      </c>
      <c r="F40"/>
      <c r="G40" s="5" t="s">
        <v>70</v>
      </c>
      <c r="H40" s="17">
        <f>'Input Data'!$F42</f>
        <v>35</v>
      </c>
      <c r="I40" s="18">
        <f t="shared" si="8"/>
        <v>36.224999999999994</v>
      </c>
      <c r="J40" s="18">
        <f t="shared" si="8"/>
        <v>37.492874999999991</v>
      </c>
      <c r="K40" s="18">
        <f t="shared" si="8"/>
        <v>38.805125624999988</v>
      </c>
      <c r="L40" s="1"/>
      <c r="M40" s="48"/>
      <c r="O40" s="1"/>
      <c r="P40" s="1"/>
      <c r="Q40" s="1"/>
      <c r="R40" s="32"/>
    </row>
    <row r="41" spans="1:18" x14ac:dyDescent="0.2">
      <c r="A41" s="48" t="s">
        <v>78</v>
      </c>
      <c r="B41" s="20">
        <f>C16</f>
        <v>0.02</v>
      </c>
      <c r="F41"/>
      <c r="G41" s="5" t="s">
        <v>85</v>
      </c>
      <c r="H41" s="17">
        <f>'Input Data'!$F43</f>
        <v>7</v>
      </c>
      <c r="I41" s="18">
        <f>H41*(1+$H$43)</f>
        <v>7.3500000000000005</v>
      </c>
      <c r="J41" s="18">
        <f>I41*(1+$H$43)</f>
        <v>7.7175000000000011</v>
      </c>
      <c r="K41" s="18">
        <f>J41*(1+$H$43)</f>
        <v>8.1033750000000015</v>
      </c>
      <c r="L41" s="1"/>
      <c r="M41" s="5" t="s">
        <v>90</v>
      </c>
      <c r="N41" s="71">
        <f>(B42*B38+H44*H38)/(N35)</f>
        <v>53750</v>
      </c>
      <c r="O41" s="1"/>
      <c r="P41" s="1"/>
      <c r="Q41" s="1"/>
      <c r="R41" s="32"/>
    </row>
    <row r="42" spans="1:18" x14ac:dyDescent="0.2">
      <c r="A42" s="5" t="s">
        <v>75</v>
      </c>
      <c r="B42" s="71">
        <f>'Input Data'!$B$30/Synergies!B38</f>
        <v>60000</v>
      </c>
      <c r="C42" s="63"/>
      <c r="D42" s="63"/>
      <c r="E42" s="63"/>
      <c r="F42"/>
      <c r="G42" s="48" t="s">
        <v>83</v>
      </c>
      <c r="H42" s="42">
        <f>I16</f>
        <v>3.5000000000000003E-2</v>
      </c>
      <c r="I42" s="1"/>
      <c r="J42" s="1"/>
      <c r="K42" s="1"/>
      <c r="L42" s="1"/>
      <c r="M42" s="5" t="s">
        <v>94</v>
      </c>
      <c r="N42" s="71">
        <f>B43</f>
        <v>135000</v>
      </c>
      <c r="O42" s="1"/>
      <c r="P42" s="1"/>
      <c r="Q42" s="1"/>
      <c r="R42" s="32"/>
    </row>
    <row r="43" spans="1:18" x14ac:dyDescent="0.2">
      <c r="A43" s="5" t="s">
        <v>76</v>
      </c>
      <c r="B43" s="71">
        <f>'Input Data'!$B$27/Synergies!B39</f>
        <v>135000</v>
      </c>
      <c r="C43" s="63"/>
      <c r="D43" s="63"/>
      <c r="E43" s="63"/>
      <c r="F43"/>
      <c r="G43" s="48" t="s">
        <v>84</v>
      </c>
      <c r="H43" s="42">
        <f>H31</f>
        <v>0.05</v>
      </c>
      <c r="I43" s="1"/>
      <c r="J43" s="1"/>
      <c r="K43" s="1"/>
      <c r="L43" s="1"/>
      <c r="M43" s="5" t="s">
        <v>91</v>
      </c>
      <c r="N43" s="71">
        <f>(H45*H39)/(N38)</f>
        <v>108625</v>
      </c>
      <c r="O43" s="1"/>
      <c r="P43" s="1"/>
      <c r="Q43" s="1"/>
      <c r="R43" s="32"/>
    </row>
    <row r="44" spans="1:18" x14ac:dyDescent="0.2">
      <c r="A44" s="5" t="s">
        <v>81</v>
      </c>
      <c r="B44" s="71">
        <f>'Input Data'!$B$28/Synergies!B40</f>
        <v>52500</v>
      </c>
      <c r="C44" s="63"/>
      <c r="D44" s="63"/>
      <c r="E44" s="63"/>
      <c r="F44"/>
      <c r="G44" s="5" t="s">
        <v>75</v>
      </c>
      <c r="H44" s="71">
        <f>'Input Data'!F31/Synergies!H38</f>
        <v>43333.333333333336</v>
      </c>
      <c r="I44" s="1"/>
      <c r="J44" s="1"/>
      <c r="K44" s="1"/>
      <c r="L44" s="1"/>
      <c r="M44" s="5" t="s">
        <v>92</v>
      </c>
      <c r="N44" s="71">
        <f>(B44*B40+H46*H40)/(N37)</f>
        <v>52979.354838709674</v>
      </c>
      <c r="O44" s="1"/>
      <c r="P44" s="1"/>
      <c r="Q44" s="1"/>
      <c r="R44" s="32"/>
    </row>
    <row r="45" spans="1:18" x14ac:dyDescent="0.2">
      <c r="F45"/>
      <c r="G45" s="5" t="s">
        <v>80</v>
      </c>
      <c r="H45" s="71">
        <f>'Input Data'!F27/'Input Data'!F41</f>
        <v>108625</v>
      </c>
      <c r="I45" s="1"/>
      <c r="J45" s="1"/>
      <c r="K45" s="1"/>
      <c r="L45" s="1"/>
      <c r="M45" s="5" t="s">
        <v>93</v>
      </c>
      <c r="N45" s="71">
        <f>H47</f>
        <v>37242.857142857145</v>
      </c>
      <c r="O45" s="1"/>
      <c r="P45" s="1"/>
      <c r="Q45" s="1"/>
      <c r="R45" s="32"/>
    </row>
    <row r="46" spans="1:18" x14ac:dyDescent="0.2">
      <c r="F46"/>
      <c r="G46" s="5" t="s">
        <v>81</v>
      </c>
      <c r="H46" s="71">
        <f>'Input Data'!F28/'Input Data'!F42</f>
        <v>54622.857142857145</v>
      </c>
      <c r="I46" s="1"/>
      <c r="J46" s="1"/>
      <c r="K46" s="1"/>
      <c r="L46" s="1"/>
      <c r="M46" s="1"/>
      <c r="N46" s="1"/>
      <c r="O46" s="54"/>
      <c r="P46" s="54"/>
      <c r="Q46" s="54"/>
      <c r="R46" s="32"/>
    </row>
    <row r="47" spans="1:18" ht="15" thickBot="1" x14ac:dyDescent="0.25">
      <c r="G47" s="5" t="s">
        <v>86</v>
      </c>
      <c r="H47" s="71">
        <f>'Input Data'!F29/'Input Data'!F43</f>
        <v>37242.857142857145</v>
      </c>
      <c r="I47" s="1"/>
      <c r="J47" s="1"/>
      <c r="K47" s="1"/>
      <c r="L47" s="1"/>
      <c r="M47" s="16" t="s">
        <v>97</v>
      </c>
      <c r="N47" s="16"/>
      <c r="O47" s="16"/>
      <c r="P47" s="16"/>
      <c r="Q47" s="16"/>
      <c r="R47" s="32"/>
    </row>
    <row r="48" spans="1:18" x14ac:dyDescent="0.2">
      <c r="F48"/>
      <c r="G48" s="1"/>
      <c r="H48" s="1"/>
      <c r="I48" s="1"/>
      <c r="J48" s="1"/>
      <c r="K48" s="1"/>
      <c r="L48" s="1"/>
      <c r="M48" s="1"/>
      <c r="N48" s="30">
        <v>2024</v>
      </c>
      <c r="O48" s="30">
        <v>2025</v>
      </c>
      <c r="P48" s="30">
        <v>2026</v>
      </c>
      <c r="Q48" s="30">
        <v>2027</v>
      </c>
      <c r="R48" s="32"/>
    </row>
    <row r="49" spans="1:25" ht="15" thickBot="1" x14ac:dyDescent="0.25">
      <c r="A49" s="16" t="s">
        <v>87</v>
      </c>
      <c r="B49" s="16"/>
      <c r="C49" s="16"/>
      <c r="D49" s="16"/>
      <c r="E49" s="16"/>
      <c r="F49"/>
      <c r="G49" s="16" t="s">
        <v>89</v>
      </c>
      <c r="H49" s="16"/>
      <c r="I49" s="16"/>
      <c r="J49" s="16"/>
      <c r="K49" s="16"/>
      <c r="L49" s="55"/>
      <c r="M49" s="1" t="s">
        <v>0</v>
      </c>
      <c r="N49" s="18"/>
      <c r="O49" s="18"/>
      <c r="P49" s="18"/>
      <c r="Q49" s="18"/>
      <c r="R49" s="34"/>
      <c r="V49" s="1"/>
    </row>
    <row r="50" spans="1:25" x14ac:dyDescent="0.2">
      <c r="A50" s="1"/>
      <c r="B50" s="30">
        <v>2024</v>
      </c>
      <c r="C50" s="30">
        <v>2025</v>
      </c>
      <c r="D50" s="30">
        <v>2026</v>
      </c>
      <c r="E50" s="30">
        <v>2027</v>
      </c>
      <c r="F50"/>
      <c r="G50" s="1"/>
      <c r="H50" s="30">
        <v>2024</v>
      </c>
      <c r="I50" s="30">
        <v>2025</v>
      </c>
      <c r="J50" s="30">
        <v>2026</v>
      </c>
      <c r="K50" s="30">
        <v>2027</v>
      </c>
      <c r="M50" s="5" t="s">
        <v>24</v>
      </c>
      <c r="N50" s="67">
        <f t="shared" ref="N50:Q53" si="9">B52+H52</f>
        <v>13300000</v>
      </c>
      <c r="O50" s="67">
        <f t="shared" si="9"/>
        <v>13603500</v>
      </c>
      <c r="P50" s="67">
        <f t="shared" si="9"/>
        <v>13914382.5</v>
      </c>
      <c r="Q50" s="67">
        <f t="shared" si="9"/>
        <v>14232841.087499999</v>
      </c>
      <c r="R50" s="87"/>
      <c r="S50" s="87"/>
      <c r="T50" s="87"/>
      <c r="U50" s="87"/>
      <c r="V50" s="20"/>
      <c r="W50" s="20"/>
      <c r="X50" s="20"/>
      <c r="Y50" s="20"/>
    </row>
    <row r="51" spans="1:25" customFormat="1" x14ac:dyDescent="0.2">
      <c r="A51" s="1" t="s">
        <v>0</v>
      </c>
      <c r="B51" s="18"/>
      <c r="C51" s="18"/>
      <c r="D51" s="18"/>
      <c r="E51" s="18"/>
      <c r="F51" s="5"/>
      <c r="G51" s="1" t="s">
        <v>0</v>
      </c>
      <c r="H51" s="18"/>
      <c r="I51" s="18"/>
      <c r="J51" s="18"/>
      <c r="K51" s="18"/>
      <c r="M51" s="5" t="s">
        <v>16</v>
      </c>
      <c r="N51" s="67">
        <f t="shared" si="9"/>
        <v>5700000</v>
      </c>
      <c r="O51" s="67">
        <f t="shared" si="9"/>
        <v>5832000</v>
      </c>
      <c r="P51" s="67">
        <f t="shared" si="9"/>
        <v>5967270</v>
      </c>
      <c r="Q51" s="67">
        <f t="shared" si="9"/>
        <v>6105897.4500000011</v>
      </c>
      <c r="R51" s="87"/>
      <c r="S51" s="87"/>
      <c r="T51" s="87"/>
      <c r="U51" s="87"/>
      <c r="V51" s="20"/>
      <c r="W51" s="20"/>
      <c r="X51" s="20"/>
      <c r="Y51" s="20"/>
    </row>
    <row r="52" spans="1:25" customFormat="1" x14ac:dyDescent="0.2">
      <c r="A52" s="35" t="s">
        <v>15</v>
      </c>
      <c r="B52" s="67">
        <f>B21*'Input Data'!$C$16</f>
        <v>10800000</v>
      </c>
      <c r="C52" s="67">
        <f>C21*'Input Data'!$C$16</f>
        <v>11016000</v>
      </c>
      <c r="D52" s="67">
        <f>D21*'Input Data'!$C$16</f>
        <v>11236320</v>
      </c>
      <c r="E52" s="67">
        <f>E21*'Input Data'!$C$16</f>
        <v>11461046.4</v>
      </c>
      <c r="F52" s="5"/>
      <c r="G52" s="5" t="s">
        <v>24</v>
      </c>
      <c r="H52" s="61">
        <f>H21*'Input Data'!$G16</f>
        <v>2500000</v>
      </c>
      <c r="I52" s="61">
        <f>I21*'Input Data'!$G16</f>
        <v>2587499.9999999995</v>
      </c>
      <c r="J52" s="61">
        <f>J21*'Input Data'!$G16</f>
        <v>2678062.4999999991</v>
      </c>
      <c r="K52" s="61">
        <f>K21*'Input Data'!$G16</f>
        <v>2771794.6874999991</v>
      </c>
      <c r="M52" s="5" t="s">
        <v>17</v>
      </c>
      <c r="N52" s="67">
        <f t="shared" si="9"/>
        <v>4151950</v>
      </c>
      <c r="O52" s="67">
        <f t="shared" si="9"/>
        <v>4249269</v>
      </c>
      <c r="P52" s="67">
        <f t="shared" si="9"/>
        <v>4349034.18</v>
      </c>
      <c r="Q52" s="67">
        <f t="shared" si="9"/>
        <v>4451311.9566000002</v>
      </c>
      <c r="R52" s="87"/>
      <c r="S52" s="87"/>
      <c r="T52" s="87"/>
      <c r="U52" s="87"/>
      <c r="V52" s="87"/>
      <c r="W52" s="87"/>
      <c r="X52" s="87"/>
    </row>
    <row r="53" spans="1:25" customFormat="1" x14ac:dyDescent="0.2">
      <c r="A53" s="35" t="s">
        <v>16</v>
      </c>
      <c r="B53" s="67">
        <f>B22*'Input Data'!$C17</f>
        <v>4500000</v>
      </c>
      <c r="C53" s="67">
        <f>C22*'Input Data'!$C17</f>
        <v>4590000</v>
      </c>
      <c r="D53" s="67">
        <f>D22*'Input Data'!$C17</f>
        <v>4681800</v>
      </c>
      <c r="E53" s="67">
        <f>E22*'Input Data'!$C17</f>
        <v>4775436.0000000009</v>
      </c>
      <c r="F53" s="5"/>
      <c r="G53" s="5" t="s">
        <v>16</v>
      </c>
      <c r="H53" s="61">
        <f>H22*'Input Data'!$G17</f>
        <v>1200000</v>
      </c>
      <c r="I53" s="61">
        <f>I22*'Input Data'!$G17</f>
        <v>1242000</v>
      </c>
      <c r="J53" s="61">
        <f>J22*'Input Data'!$G17</f>
        <v>1285470</v>
      </c>
      <c r="K53" s="61">
        <f>K22*'Input Data'!$G17</f>
        <v>1330461.4499999997</v>
      </c>
      <c r="M53" s="5" t="s">
        <v>26</v>
      </c>
      <c r="N53" s="67">
        <f t="shared" si="9"/>
        <v>21020000</v>
      </c>
      <c r="O53" s="67">
        <f t="shared" si="9"/>
        <v>21530700</v>
      </c>
      <c r="P53" s="67">
        <f t="shared" si="9"/>
        <v>22054774.5</v>
      </c>
      <c r="Q53" s="67">
        <f t="shared" si="9"/>
        <v>22592601.607500002</v>
      </c>
      <c r="R53" s="87"/>
      <c r="S53" s="87"/>
      <c r="T53" s="87"/>
      <c r="U53" s="87"/>
      <c r="V53" s="87"/>
      <c r="W53" s="87"/>
      <c r="X53" s="87"/>
    </row>
    <row r="54" spans="1:25" customFormat="1" x14ac:dyDescent="0.2">
      <c r="A54" s="35" t="s">
        <v>17</v>
      </c>
      <c r="B54" s="67">
        <f>B23*'Input Data'!$C18</f>
        <v>3199950</v>
      </c>
      <c r="C54" s="67">
        <f>C23*'Input Data'!$C18</f>
        <v>3263949</v>
      </c>
      <c r="D54" s="67">
        <f>D23*'Input Data'!$C18</f>
        <v>3329227.98</v>
      </c>
      <c r="E54" s="67">
        <f>E23*'Input Data'!$C18</f>
        <v>3395812.5396000003</v>
      </c>
      <c r="F54" s="5"/>
      <c r="G54" s="5" t="s">
        <v>17</v>
      </c>
      <c r="H54" s="61">
        <f>H23*'Input Data'!$G18</f>
        <v>952000</v>
      </c>
      <c r="I54" s="61">
        <f>I23*'Input Data'!$G18</f>
        <v>985319.99999999988</v>
      </c>
      <c r="J54" s="61">
        <f>J23*'Input Data'!$G18</f>
        <v>1019806.1999999997</v>
      </c>
      <c r="K54" s="61">
        <f>K23*'Input Data'!$G18</f>
        <v>1055499.4169999997</v>
      </c>
      <c r="M54" s="5" t="s">
        <v>30</v>
      </c>
      <c r="N54" s="67">
        <f t="shared" ref="N54:Q57" si="10">H56</f>
        <v>127500</v>
      </c>
      <c r="O54" s="67">
        <f t="shared" si="10"/>
        <v>131962.49999999997</v>
      </c>
      <c r="P54" s="67">
        <f t="shared" si="10"/>
        <v>136581.18749999997</v>
      </c>
      <c r="Q54" s="67">
        <f t="shared" si="10"/>
        <v>141361.52906249996</v>
      </c>
      <c r="R54" s="87"/>
      <c r="S54" s="87"/>
      <c r="T54" s="87"/>
      <c r="U54" s="87"/>
      <c r="V54" s="87"/>
      <c r="W54" s="87"/>
      <c r="X54" s="87"/>
    </row>
    <row r="55" spans="1:25" x14ac:dyDescent="0.2">
      <c r="A55" s="35" t="s">
        <v>18</v>
      </c>
      <c r="B55" s="67">
        <f>B24*'Input Data'!$C19</f>
        <v>15000000</v>
      </c>
      <c r="C55" s="67">
        <f>C24*'Input Data'!$C19</f>
        <v>15300000</v>
      </c>
      <c r="D55" s="67">
        <f>D24*'Input Data'!$C19</f>
        <v>15606000</v>
      </c>
      <c r="E55" s="67">
        <f>E24*'Input Data'!$C19</f>
        <v>15918120</v>
      </c>
      <c r="G55" s="5" t="s">
        <v>26</v>
      </c>
      <c r="H55" s="61">
        <f>H24*'Input Data'!$G19</f>
        <v>6020000</v>
      </c>
      <c r="I55" s="61">
        <f>I24*'Input Data'!$G19</f>
        <v>6230700</v>
      </c>
      <c r="J55" s="61">
        <f>J24*'Input Data'!$G19</f>
        <v>6448774.5</v>
      </c>
      <c r="K55" s="61">
        <f>K24*'Input Data'!$G19</f>
        <v>6674481.6074999999</v>
      </c>
      <c r="M55" s="5" t="s">
        <v>29</v>
      </c>
      <c r="N55" s="67">
        <f t="shared" si="10"/>
        <v>660000</v>
      </c>
      <c r="O55" s="67">
        <f t="shared" si="10"/>
        <v>693000</v>
      </c>
      <c r="P55" s="67">
        <f t="shared" si="10"/>
        <v>727650</v>
      </c>
      <c r="Q55" s="67">
        <f t="shared" si="10"/>
        <v>764032.5</v>
      </c>
      <c r="R55" s="87"/>
      <c r="S55" s="87"/>
      <c r="T55" s="87"/>
      <c r="U55" s="87"/>
      <c r="V55" s="87"/>
      <c r="W55" s="87"/>
      <c r="X55" s="87"/>
    </row>
    <row r="56" spans="1:25" x14ac:dyDescent="0.2">
      <c r="A56" s="58" t="s">
        <v>19</v>
      </c>
      <c r="B56" s="68">
        <f>SUM(B51:B55)</f>
        <v>33499950</v>
      </c>
      <c r="C56" s="68">
        <f t="shared" ref="C56:E56" si="11">SUM(C51:C55)</f>
        <v>34169949</v>
      </c>
      <c r="D56" s="68">
        <f t="shared" si="11"/>
        <v>34853347.980000004</v>
      </c>
      <c r="E56" s="68">
        <f t="shared" si="11"/>
        <v>35550414.939600006</v>
      </c>
      <c r="G56" s="5" t="s">
        <v>30</v>
      </c>
      <c r="H56" s="61">
        <f>H25*'Input Data'!$G21</f>
        <v>127500</v>
      </c>
      <c r="I56" s="61">
        <f>I25*'Input Data'!$G21</f>
        <v>131962.49999999997</v>
      </c>
      <c r="J56" s="61">
        <f>J25*'Input Data'!$G21</f>
        <v>136581.18749999997</v>
      </c>
      <c r="K56" s="61">
        <f>K25*'Input Data'!$G21</f>
        <v>141361.52906249996</v>
      </c>
      <c r="M56" s="5" t="s">
        <v>31</v>
      </c>
      <c r="N56" s="67">
        <f t="shared" si="10"/>
        <v>150000</v>
      </c>
      <c r="O56" s="67">
        <f t="shared" si="10"/>
        <v>157500</v>
      </c>
      <c r="P56" s="67">
        <f t="shared" si="10"/>
        <v>165375</v>
      </c>
      <c r="Q56" s="67">
        <f t="shared" si="10"/>
        <v>173643.75</v>
      </c>
      <c r="R56" s="87"/>
      <c r="S56" s="87"/>
      <c r="T56" s="87"/>
      <c r="U56" s="87"/>
      <c r="V56" s="87"/>
      <c r="W56" s="87"/>
      <c r="X56" s="87"/>
    </row>
    <row r="57" spans="1:25" x14ac:dyDescent="0.2">
      <c r="A57" s="1" t="s">
        <v>8</v>
      </c>
      <c r="B57" s="18"/>
      <c r="C57" s="18"/>
      <c r="D57" s="18"/>
      <c r="E57" s="18"/>
      <c r="G57" s="5" t="s">
        <v>29</v>
      </c>
      <c r="H57" s="61">
        <f>H28*'Input Data'!$G20</f>
        <v>660000</v>
      </c>
      <c r="I57" s="61">
        <f>I28*'Input Data'!$G20</f>
        <v>693000</v>
      </c>
      <c r="J57" s="61">
        <f>J28*'Input Data'!$G20</f>
        <v>727650</v>
      </c>
      <c r="K57" s="61">
        <f>K28*'Input Data'!$G20</f>
        <v>764032.5</v>
      </c>
      <c r="M57" s="5" t="s">
        <v>32</v>
      </c>
      <c r="N57" s="67">
        <f t="shared" si="10"/>
        <v>825000</v>
      </c>
      <c r="O57" s="67">
        <f t="shared" si="10"/>
        <v>866250</v>
      </c>
      <c r="P57" s="67">
        <f t="shared" si="10"/>
        <v>909562.5</v>
      </c>
      <c r="Q57" s="67">
        <f t="shared" si="10"/>
        <v>955040.625</v>
      </c>
      <c r="R57" s="87"/>
      <c r="S57" s="87"/>
      <c r="T57" s="87"/>
      <c r="U57" s="87"/>
      <c r="V57" s="87"/>
      <c r="W57" s="87"/>
      <c r="X57" s="87"/>
    </row>
    <row r="58" spans="1:25" x14ac:dyDescent="0.2">
      <c r="A58" s="5" t="s">
        <v>35</v>
      </c>
      <c r="B58" s="67">
        <f>$B$43*B39+B40*$B$44</f>
        <v>9000000</v>
      </c>
      <c r="C58" s="67">
        <f>$B$43*C39+C40*$B$44</f>
        <v>9180000</v>
      </c>
      <c r="D58" s="67">
        <f>$B$43*D39+D40*$B$44</f>
        <v>9363600</v>
      </c>
      <c r="E58" s="67">
        <f>$B$43*E39+E40*$B$44</f>
        <v>9550872</v>
      </c>
      <c r="G58" s="5" t="s">
        <v>31</v>
      </c>
      <c r="H58" s="61">
        <f>'Input Data'!$G22*H29</f>
        <v>150000</v>
      </c>
      <c r="I58" s="61">
        <f>'Input Data'!$G22*I29</f>
        <v>157500</v>
      </c>
      <c r="J58" s="61">
        <f>'Input Data'!$G22*J29</f>
        <v>165375</v>
      </c>
      <c r="K58" s="61">
        <f>'Input Data'!$G22*K29</f>
        <v>173643.75</v>
      </c>
      <c r="M58" s="58" t="s">
        <v>19</v>
      </c>
      <c r="N58" s="68">
        <f>SUM(N49:N57)</f>
        <v>45934450</v>
      </c>
      <c r="O58" s="68">
        <f>SUM(O49:O57)</f>
        <v>47064181.5</v>
      </c>
      <c r="P58" s="68">
        <f>SUM(P49:P57)</f>
        <v>48224629.8675</v>
      </c>
      <c r="Q58" s="68">
        <f>SUM(Q49:Q57)</f>
        <v>49416730.505662508</v>
      </c>
      <c r="R58" s="87"/>
      <c r="S58" s="87"/>
      <c r="T58" s="87"/>
      <c r="U58" s="87"/>
      <c r="V58" s="87"/>
      <c r="W58" s="87"/>
      <c r="X58" s="87"/>
    </row>
    <row r="59" spans="1:25" x14ac:dyDescent="0.2">
      <c r="A59" s="5" t="s">
        <v>36</v>
      </c>
      <c r="B59" s="67">
        <f>'Input Data'!$B$29</f>
        <v>200000</v>
      </c>
      <c r="C59" s="67">
        <f>'Input Data'!$B$29</f>
        <v>200000</v>
      </c>
      <c r="D59" s="67">
        <f>'Input Data'!$B$29</f>
        <v>200000</v>
      </c>
      <c r="E59" s="67">
        <f>'Input Data'!$B$29</f>
        <v>200000</v>
      </c>
      <c r="F59"/>
      <c r="G59" s="5" t="s">
        <v>32</v>
      </c>
      <c r="H59" s="61">
        <f>'Input Data'!$G23*H30</f>
        <v>825000</v>
      </c>
      <c r="I59" s="61">
        <f>'Input Data'!$G23*I30</f>
        <v>866250</v>
      </c>
      <c r="J59" s="61">
        <f>'Input Data'!$G23*J30</f>
        <v>909562.5</v>
      </c>
      <c r="K59" s="61">
        <f>'Input Data'!$G23*K30</f>
        <v>955040.625</v>
      </c>
      <c r="M59" s="1" t="s">
        <v>8</v>
      </c>
      <c r="N59" s="67"/>
      <c r="O59" s="67"/>
      <c r="P59" s="67"/>
      <c r="Q59" s="67"/>
      <c r="R59" s="87"/>
      <c r="S59" s="87"/>
      <c r="T59" s="87"/>
      <c r="U59" s="87"/>
      <c r="V59" s="87"/>
      <c r="W59" s="87"/>
      <c r="X59" s="87"/>
    </row>
    <row r="60" spans="1:25" x14ac:dyDescent="0.2">
      <c r="A60" s="5" t="s">
        <v>64</v>
      </c>
      <c r="B60" s="67">
        <f>B38*$B$42</f>
        <v>1500000</v>
      </c>
      <c r="C60" s="67">
        <f>C38*$B$42</f>
        <v>1500000</v>
      </c>
      <c r="D60" s="67">
        <f>D38*$B$42</f>
        <v>1500000</v>
      </c>
      <c r="E60" s="67">
        <f>E38*$B$42</f>
        <v>1500000</v>
      </c>
      <c r="G60" s="58" t="s">
        <v>19</v>
      </c>
      <c r="H60" s="62">
        <f>SUM(H51:H59)</f>
        <v>12434500</v>
      </c>
      <c r="I60" s="62">
        <f t="shared" ref="I60:K60" si="12">SUM(I51:I59)</f>
        <v>12894232.5</v>
      </c>
      <c r="J60" s="62">
        <f t="shared" si="12"/>
        <v>13371281.887499999</v>
      </c>
      <c r="K60" s="62">
        <f t="shared" si="12"/>
        <v>13866315.566062499</v>
      </c>
      <c r="M60" s="5" t="s">
        <v>35</v>
      </c>
      <c r="N60" s="67">
        <f t="shared" ref="N60:Q62" si="13">H62+B58</f>
        <v>13345000</v>
      </c>
      <c r="O60" s="67">
        <f t="shared" si="13"/>
        <v>13680985.5</v>
      </c>
      <c r="P60" s="67">
        <f t="shared" si="13"/>
        <v>14026226.0175</v>
      </c>
      <c r="Q60" s="67">
        <f t="shared" si="13"/>
        <v>14381001.254362499</v>
      </c>
      <c r="R60" s="87"/>
      <c r="S60" s="87"/>
      <c r="T60" s="87"/>
      <c r="U60" s="87"/>
      <c r="V60" s="87"/>
      <c r="W60" s="87"/>
      <c r="X60" s="87"/>
    </row>
    <row r="61" spans="1:25" x14ac:dyDescent="0.2">
      <c r="A61" s="5" t="s">
        <v>45</v>
      </c>
      <c r="B61" s="67"/>
      <c r="C61" s="18"/>
      <c r="D61" s="18"/>
      <c r="E61" s="18"/>
      <c r="G61" s="1" t="s">
        <v>8</v>
      </c>
      <c r="H61" s="18"/>
      <c r="I61" s="18"/>
      <c r="J61" s="18"/>
      <c r="K61" s="18"/>
      <c r="M61" s="5" t="s">
        <v>36</v>
      </c>
      <c r="N61" s="67">
        <f t="shared" si="13"/>
        <v>325000</v>
      </c>
      <c r="O61" s="67">
        <f t="shared" si="13"/>
        <v>325000</v>
      </c>
      <c r="P61" s="67">
        <f t="shared" si="13"/>
        <v>325000</v>
      </c>
      <c r="Q61" s="67">
        <f t="shared" si="13"/>
        <v>325000</v>
      </c>
      <c r="R61" s="87"/>
      <c r="S61" s="87"/>
      <c r="T61" s="87"/>
      <c r="U61" s="87"/>
      <c r="V61" s="87"/>
      <c r="W61" s="87"/>
      <c r="X61" s="87"/>
    </row>
    <row r="62" spans="1:25" x14ac:dyDescent="0.2">
      <c r="A62" s="48" t="s">
        <v>42</v>
      </c>
      <c r="B62" s="67">
        <f>'Input Data'!B32</f>
        <v>10400000</v>
      </c>
      <c r="C62" s="67">
        <f>B62*(1+$B$25)</f>
        <v>10608000</v>
      </c>
      <c r="D62" s="67">
        <f t="shared" ref="D62:E62" si="14">C62*(1+$B$25)</f>
        <v>10820160</v>
      </c>
      <c r="E62" s="67">
        <f t="shared" si="14"/>
        <v>11036563.200000001</v>
      </c>
      <c r="G62" s="5" t="s">
        <v>35</v>
      </c>
      <c r="H62" s="67">
        <f>H39*$H$45+H40*$H$46+H41*$H$47</f>
        <v>4345000</v>
      </c>
      <c r="I62" s="67">
        <f t="shared" ref="I62:K62" si="15">I39*$H$45+I40*$H$46+I41*$H$47</f>
        <v>4500985.5</v>
      </c>
      <c r="J62" s="67">
        <f t="shared" si="15"/>
        <v>4662626.0175000001</v>
      </c>
      <c r="K62" s="67">
        <f t="shared" si="15"/>
        <v>4830129.2543624993</v>
      </c>
      <c r="M62" s="5" t="s">
        <v>64</v>
      </c>
      <c r="N62" s="67">
        <f t="shared" si="13"/>
        <v>2150000</v>
      </c>
      <c r="O62" s="67">
        <f t="shared" si="13"/>
        <v>2150000</v>
      </c>
      <c r="P62" s="67">
        <f t="shared" si="13"/>
        <v>2150000</v>
      </c>
      <c r="Q62" s="67">
        <f t="shared" si="13"/>
        <v>2150000</v>
      </c>
      <c r="R62" s="87"/>
      <c r="S62" s="87"/>
      <c r="T62" s="87"/>
      <c r="U62" s="87"/>
      <c r="V62" s="87"/>
      <c r="W62" s="87"/>
      <c r="X62" s="87"/>
    </row>
    <row r="63" spans="1:25" x14ac:dyDescent="0.2">
      <c r="A63" s="48" t="s">
        <v>43</v>
      </c>
      <c r="B63" s="67">
        <f>'Input Data'!$B33</f>
        <v>325000</v>
      </c>
      <c r="C63" s="67">
        <f>'Input Data'!$B33</f>
        <v>325000</v>
      </c>
      <c r="D63" s="67">
        <f>'Input Data'!$B33</f>
        <v>325000</v>
      </c>
      <c r="E63" s="67">
        <f>'Input Data'!$B33</f>
        <v>325000</v>
      </c>
      <c r="G63" s="5" t="s">
        <v>36</v>
      </c>
      <c r="H63" s="67">
        <f>'Input Data'!$F30</f>
        <v>125000</v>
      </c>
      <c r="I63" s="67">
        <f>'Input Data'!$F30</f>
        <v>125000</v>
      </c>
      <c r="J63" s="67">
        <f>'Input Data'!$F30</f>
        <v>125000</v>
      </c>
      <c r="K63" s="67">
        <f>'Input Data'!$F30</f>
        <v>125000</v>
      </c>
      <c r="M63" s="5" t="s">
        <v>45</v>
      </c>
      <c r="N63" s="67">
        <f>H65+SUM(B62:B64)</f>
        <v>14865175</v>
      </c>
      <c r="O63" s="67">
        <f>I65+SUM(C62:C64)</f>
        <v>15073175</v>
      </c>
      <c r="P63" s="67">
        <f>J65+SUM(D62:D64)</f>
        <v>15285335</v>
      </c>
      <c r="Q63" s="67">
        <f>K65+SUM(E62:E64)</f>
        <v>15501738.200000001</v>
      </c>
      <c r="R63" s="87"/>
      <c r="S63" s="87">
        <v>8.6847126720794518E-2</v>
      </c>
      <c r="T63" s="87">
        <v>9.307122445123156E-2</v>
      </c>
      <c r="U63" s="87">
        <v>9.9191271413442569E-2</v>
      </c>
      <c r="V63" s="87">
        <v>0.10520974234028393</v>
      </c>
      <c r="W63" s="87"/>
      <c r="X63" s="87"/>
    </row>
    <row r="64" spans="1:25" x14ac:dyDescent="0.2">
      <c r="A64" s="48" t="s">
        <v>44</v>
      </c>
      <c r="B64" s="67">
        <f>'Input Data'!$B34</f>
        <v>2275000</v>
      </c>
      <c r="C64" s="67">
        <f>'Input Data'!$B34</f>
        <v>2275000</v>
      </c>
      <c r="D64" s="67">
        <f>'Input Data'!$B34</f>
        <v>2275000</v>
      </c>
      <c r="E64" s="67">
        <f>'Input Data'!$B34</f>
        <v>2275000</v>
      </c>
      <c r="G64" s="5" t="s">
        <v>64</v>
      </c>
      <c r="H64" s="67">
        <f>$H$44*H38</f>
        <v>650000</v>
      </c>
      <c r="I64" s="67">
        <f t="shared" ref="I64:K64" si="16">$H$44*I38</f>
        <v>650000</v>
      </c>
      <c r="J64" s="67">
        <f t="shared" si="16"/>
        <v>650000</v>
      </c>
      <c r="K64" s="67">
        <f t="shared" si="16"/>
        <v>650000</v>
      </c>
      <c r="M64" s="5" t="s">
        <v>38</v>
      </c>
      <c r="N64" s="67">
        <f t="shared" ref="N64:Q66" si="17">H66+B65</f>
        <v>7860000</v>
      </c>
      <c r="O64" s="67">
        <f t="shared" si="17"/>
        <v>8054700</v>
      </c>
      <c r="P64" s="67">
        <f t="shared" si="17"/>
        <v>8254606.5</v>
      </c>
      <c r="Q64" s="67">
        <f t="shared" si="17"/>
        <v>8459869.567499999</v>
      </c>
      <c r="R64" s="32"/>
    </row>
    <row r="65" spans="1:39" x14ac:dyDescent="0.2">
      <c r="A65" s="5" t="s">
        <v>38</v>
      </c>
      <c r="B65" s="67">
        <f>'Input Data'!B35</f>
        <v>5360000</v>
      </c>
      <c r="C65" s="67">
        <f>B65*(1+$B$25)</f>
        <v>5467200</v>
      </c>
      <c r="D65" s="67">
        <f t="shared" ref="D65:E65" si="18">C65*(1+$B$25)</f>
        <v>5576544</v>
      </c>
      <c r="E65" s="67">
        <f t="shared" si="18"/>
        <v>5688074.8799999999</v>
      </c>
      <c r="G65" s="5" t="s">
        <v>45</v>
      </c>
      <c r="H65" s="67">
        <f>'Input Data'!$F32</f>
        <v>1865175</v>
      </c>
      <c r="I65" s="67">
        <f>'Input Data'!$F32</f>
        <v>1865175</v>
      </c>
      <c r="J65" s="67">
        <f>'Input Data'!$F32</f>
        <v>1865175</v>
      </c>
      <c r="K65" s="67">
        <f>'Input Data'!$F32</f>
        <v>1865175</v>
      </c>
      <c r="M65" s="5" t="s">
        <v>39</v>
      </c>
      <c r="N65" s="67">
        <f t="shared" si="17"/>
        <v>1100000</v>
      </c>
      <c r="O65" s="67">
        <f t="shared" si="17"/>
        <v>1100000</v>
      </c>
      <c r="P65" s="67">
        <f t="shared" si="17"/>
        <v>1100000</v>
      </c>
      <c r="Q65" s="67">
        <f t="shared" si="17"/>
        <v>1100000</v>
      </c>
      <c r="R65" s="32"/>
    </row>
    <row r="66" spans="1:39" x14ac:dyDescent="0.2">
      <c r="A66" s="5" t="s">
        <v>39</v>
      </c>
      <c r="B66" s="67">
        <f>'Input Data'!$B36</f>
        <v>500000</v>
      </c>
      <c r="C66" s="67">
        <f>'Input Data'!$B36</f>
        <v>500000</v>
      </c>
      <c r="D66" s="67">
        <f>'Input Data'!$B36</f>
        <v>500000</v>
      </c>
      <c r="E66" s="67">
        <f>'Input Data'!$B36</f>
        <v>500000</v>
      </c>
      <c r="G66" s="5" t="s">
        <v>38</v>
      </c>
      <c r="H66" s="67">
        <f>'Input Data'!$F33</f>
        <v>2500000</v>
      </c>
      <c r="I66" s="67">
        <f>H66*(1+I16)</f>
        <v>2587500</v>
      </c>
      <c r="J66" s="67">
        <f t="shared" ref="J66:K66" si="19">I66*(1+J16)</f>
        <v>2678062.5</v>
      </c>
      <c r="K66" s="67">
        <f t="shared" si="19"/>
        <v>2771794.6875</v>
      </c>
      <c r="M66" s="5" t="s">
        <v>40</v>
      </c>
      <c r="N66" s="67">
        <f t="shared" si="17"/>
        <v>2300000</v>
      </c>
      <c r="O66" s="67">
        <f t="shared" si="17"/>
        <v>2300000</v>
      </c>
      <c r="P66" s="67">
        <f t="shared" si="17"/>
        <v>2300000</v>
      </c>
      <c r="Q66" s="67">
        <f t="shared" si="17"/>
        <v>2300000</v>
      </c>
      <c r="R66" s="32"/>
    </row>
    <row r="67" spans="1:39" customFormat="1" x14ac:dyDescent="0.2">
      <c r="A67" s="5" t="s">
        <v>40</v>
      </c>
      <c r="B67" s="67">
        <f>'Input Data'!$B37</f>
        <v>800000</v>
      </c>
      <c r="C67" s="67">
        <f>'Input Data'!$B37</f>
        <v>800000</v>
      </c>
      <c r="D67" s="67">
        <f>'Input Data'!$B37</f>
        <v>800000</v>
      </c>
      <c r="E67" s="67">
        <f>'Input Data'!$B37</f>
        <v>800000</v>
      </c>
      <c r="F67" s="5"/>
      <c r="G67" s="5" t="s">
        <v>39</v>
      </c>
      <c r="H67" s="67">
        <f>'Input Data'!$F34</f>
        <v>600000</v>
      </c>
      <c r="I67" s="67">
        <f>'Input Data'!$F34</f>
        <v>600000</v>
      </c>
      <c r="J67" s="67">
        <f>'Input Data'!$F34</f>
        <v>600000</v>
      </c>
      <c r="K67" s="67">
        <f>'Input Data'!$F34</f>
        <v>600000</v>
      </c>
      <c r="M67" s="58" t="s">
        <v>19</v>
      </c>
      <c r="N67" s="56">
        <f>SUM(N60:N66)</f>
        <v>41945175</v>
      </c>
      <c r="O67" s="56">
        <f>SUM(O60:O66)</f>
        <v>42683860.5</v>
      </c>
      <c r="P67" s="56">
        <f>SUM(P60:P66)</f>
        <v>43441167.517499998</v>
      </c>
      <c r="Q67" s="56">
        <f>SUM(Q60:Q66)</f>
        <v>44217609.021862507</v>
      </c>
    </row>
    <row r="68" spans="1:39" x14ac:dyDescent="0.2">
      <c r="A68" s="58" t="s">
        <v>19</v>
      </c>
      <c r="B68" s="56">
        <f>SUM(B58:B67)</f>
        <v>30360000</v>
      </c>
      <c r="C68" s="56">
        <f>SUM(C58:C67)</f>
        <v>30855200</v>
      </c>
      <c r="D68" s="56">
        <f t="shared" ref="D68:E68" si="20">SUM(D58:D67)</f>
        <v>31360304</v>
      </c>
      <c r="E68" s="56">
        <f t="shared" si="20"/>
        <v>31875510.080000002</v>
      </c>
      <c r="G68" s="5" t="s">
        <v>40</v>
      </c>
      <c r="H68" s="67">
        <f>'Input Data'!$F35</f>
        <v>1500000</v>
      </c>
      <c r="I68" s="67">
        <f>'Input Data'!$F35</f>
        <v>1500000</v>
      </c>
      <c r="J68" s="67">
        <f>'Input Data'!$F35</f>
        <v>1500000</v>
      </c>
      <c r="K68" s="67">
        <f>'Input Data'!$F35</f>
        <v>1500000</v>
      </c>
      <c r="M68" s="35"/>
      <c r="N68" s="57"/>
      <c r="O68" s="57"/>
      <c r="P68" s="57"/>
      <c r="Q68" s="57"/>
    </row>
    <row r="69" spans="1:39" x14ac:dyDescent="0.2">
      <c r="A69" s="48"/>
      <c r="B69" s="54"/>
      <c r="C69" s="54"/>
      <c r="D69" s="54"/>
      <c r="E69" s="54"/>
      <c r="G69" s="58" t="s">
        <v>19</v>
      </c>
      <c r="H69" s="56">
        <f>SUM(H62:H68)</f>
        <v>11585175</v>
      </c>
      <c r="I69" s="56">
        <f>SUM(I62:I68)</f>
        <v>11828660.5</v>
      </c>
      <c r="J69" s="56">
        <f>SUM(J62:J68)</f>
        <v>12080863.5175</v>
      </c>
      <c r="K69" s="56">
        <f>SUM(K62:K68)</f>
        <v>12342098.941862499</v>
      </c>
      <c r="L69" s="55"/>
      <c r="M69" s="1" t="s">
        <v>1</v>
      </c>
      <c r="N69" s="46">
        <f>N58-N67</f>
        <v>3989275</v>
      </c>
      <c r="O69" s="46">
        <f>O58-O67</f>
        <v>4380321</v>
      </c>
      <c r="P69" s="46">
        <f>P58-P67</f>
        <v>4783462.3500000015</v>
      </c>
      <c r="Q69" s="46">
        <f>Q58-Q67</f>
        <v>5199121.4838000014</v>
      </c>
      <c r="S69" s="15">
        <f>N69/1000000</f>
        <v>3.9892750000000001</v>
      </c>
      <c r="T69" s="15">
        <f t="shared" ref="T69:V69" si="21">O69/1000000</f>
        <v>4.3803210000000004</v>
      </c>
      <c r="U69" s="15">
        <f t="shared" si="21"/>
        <v>4.7834623500000015</v>
      </c>
      <c r="V69" s="15">
        <f t="shared" si="21"/>
        <v>5.1991214838000017</v>
      </c>
      <c r="W69" s="15"/>
    </row>
    <row r="70" spans="1:39" x14ac:dyDescent="0.2">
      <c r="A70" s="1" t="s">
        <v>1</v>
      </c>
      <c r="B70" s="46">
        <f>B56-B68</f>
        <v>3139950</v>
      </c>
      <c r="C70" s="46">
        <f>C56-C68</f>
        <v>3314749</v>
      </c>
      <c r="D70" s="46">
        <f>D56-D68</f>
        <v>3493043.9800000042</v>
      </c>
      <c r="E70" s="46">
        <f>E56-E68</f>
        <v>3674904.8596000038</v>
      </c>
      <c r="G70" s="35"/>
      <c r="H70" s="57"/>
      <c r="I70" s="57"/>
      <c r="J70" s="57"/>
      <c r="K70" s="57"/>
      <c r="M70" s="34" t="s">
        <v>2</v>
      </c>
      <c r="N70" s="36">
        <f>N69/N58</f>
        <v>8.6847126720794518E-2</v>
      </c>
      <c r="O70" s="36">
        <f>O69/O58</f>
        <v>9.307122445123156E-2</v>
      </c>
      <c r="P70" s="36">
        <f>P69/P58</f>
        <v>9.9191271413442569E-2</v>
      </c>
      <c r="Q70" s="36">
        <f>Q69/Q58</f>
        <v>0.10520974234028393</v>
      </c>
    </row>
    <row r="71" spans="1:39" s="32" customFormat="1" x14ac:dyDescent="0.2">
      <c r="A71" s="34" t="s">
        <v>2</v>
      </c>
      <c r="B71" s="36">
        <f>B70/B56</f>
        <v>9.3729990641777075E-2</v>
      </c>
      <c r="C71" s="36">
        <f>C70/C56</f>
        <v>9.7007724535965803E-2</v>
      </c>
      <c r="D71" s="36">
        <f>D70/D56</f>
        <v>0.1002211891381117</v>
      </c>
      <c r="E71" s="36">
        <f>E70/E56</f>
        <v>0.1033716446304115</v>
      </c>
      <c r="F71" s="5"/>
      <c r="G71" s="1" t="s">
        <v>1</v>
      </c>
      <c r="H71" s="46">
        <f>H60-H69</f>
        <v>849325</v>
      </c>
      <c r="I71" s="46">
        <f>I60-I69</f>
        <v>1065572</v>
      </c>
      <c r="J71" s="46">
        <f>J60-J69</f>
        <v>1290418.3699999992</v>
      </c>
      <c r="K71" s="46">
        <f>K60-K69</f>
        <v>1524216.6241999995</v>
      </c>
      <c r="M71" s="35"/>
      <c r="N71" s="54"/>
      <c r="O71" s="54"/>
      <c r="P71" s="54"/>
      <c r="Q71" s="54"/>
    </row>
    <row r="72" spans="1:39" s="32" customFormat="1" x14ac:dyDescent="0.2">
      <c r="A72" s="5"/>
      <c r="B72" s="54"/>
      <c r="C72" s="54"/>
      <c r="D72" s="54"/>
      <c r="E72" s="54"/>
      <c r="F72" s="5"/>
      <c r="G72" s="34" t="s">
        <v>2</v>
      </c>
      <c r="H72" s="36">
        <f>H71/H60</f>
        <v>6.8303912501507899E-2</v>
      </c>
      <c r="I72" s="36">
        <f>I71/I60</f>
        <v>8.2639428131918671E-2</v>
      </c>
      <c r="J72" s="36">
        <f>J71/J60</f>
        <v>9.6506706002984874E-2</v>
      </c>
      <c r="K72" s="36">
        <f>K71/K60</f>
        <v>0.10992225129582987</v>
      </c>
      <c r="M72" s="30" t="s">
        <v>5</v>
      </c>
      <c r="N72" s="33"/>
      <c r="O72" s="33"/>
      <c r="P72" s="33"/>
      <c r="Q72" s="33"/>
    </row>
    <row r="73" spans="1:39" s="32" customFormat="1" x14ac:dyDescent="0.2">
      <c r="A73" s="30" t="s">
        <v>5</v>
      </c>
      <c r="B73" s="33"/>
      <c r="C73" s="33"/>
      <c r="D73" s="33"/>
      <c r="E73" s="33"/>
      <c r="F73" s="5"/>
      <c r="G73" s="35"/>
      <c r="H73" s="57"/>
      <c r="I73" s="57"/>
      <c r="J73" s="57"/>
      <c r="K73" s="57"/>
      <c r="M73" s="5" t="s">
        <v>98</v>
      </c>
      <c r="N73" s="39">
        <f>N60/(N58)</f>
        <v>0.29052269048611662</v>
      </c>
      <c r="O73" s="39">
        <f t="shared" ref="O73:Q73" si="22">O60/(O58)</f>
        <v>0.29068784506536038</v>
      </c>
      <c r="P73" s="39">
        <f t="shared" si="22"/>
        <v>0.29085191645924247</v>
      </c>
      <c r="Q73" s="39">
        <f t="shared" si="22"/>
        <v>0.29101482650121147</v>
      </c>
    </row>
    <row r="74" spans="1:39" s="32" customFormat="1" x14ac:dyDescent="0.2">
      <c r="A74" s="5" t="s">
        <v>98</v>
      </c>
      <c r="B74" s="39">
        <f>B58/(B56)</f>
        <v>0.2686571173986827</v>
      </c>
      <c r="C74" s="39">
        <f t="shared" ref="C74:E74" si="23">C58/(C56)</f>
        <v>0.2686571173986827</v>
      </c>
      <c r="D74" s="39">
        <f t="shared" si="23"/>
        <v>0.26865711739868264</v>
      </c>
      <c r="E74" s="39">
        <f t="shared" si="23"/>
        <v>0.26865711739868264</v>
      </c>
      <c r="F74" s="5"/>
      <c r="G74" s="30" t="s">
        <v>5</v>
      </c>
      <c r="H74" s="33"/>
      <c r="I74" s="33"/>
      <c r="J74" s="33"/>
      <c r="K74" s="33"/>
      <c r="M74" t="s">
        <v>100</v>
      </c>
      <c r="N74" s="39">
        <f>N64/N58</f>
        <v>0.17111340181497764</v>
      </c>
      <c r="O74" s="39">
        <f t="shared" ref="O74:Q74" si="24">O64/O58</f>
        <v>0.17114288920545659</v>
      </c>
      <c r="P74" s="39">
        <f t="shared" si="24"/>
        <v>0.1711699296123167</v>
      </c>
      <c r="Q74" s="39">
        <f t="shared" si="24"/>
        <v>0.17119444125366831</v>
      </c>
    </row>
    <row r="75" spans="1:39" s="32" customFormat="1" x14ac:dyDescent="0.2">
      <c r="A75" t="s">
        <v>100</v>
      </c>
      <c r="B75" s="39">
        <f>B65/B56</f>
        <v>0.16000023880632658</v>
      </c>
      <c r="C75" s="39">
        <f t="shared" ref="C75:E75" si="25">C65/C56</f>
        <v>0.16000023880632658</v>
      </c>
      <c r="D75" s="39">
        <f t="shared" si="25"/>
        <v>0.16000023880632655</v>
      </c>
      <c r="E75" s="39">
        <f t="shared" si="25"/>
        <v>0.16000023880632655</v>
      </c>
      <c r="F75" s="5"/>
      <c r="G75" s="5" t="s">
        <v>98</v>
      </c>
      <c r="H75" s="39">
        <f>H62/(H60)</f>
        <v>0.3494310185371346</v>
      </c>
      <c r="I75" s="39">
        <f t="shared" ref="I75:K75" si="26">I62/(I60)</f>
        <v>0.34906967126581595</v>
      </c>
      <c r="J75" s="39">
        <f t="shared" si="26"/>
        <v>0.3487044889734025</v>
      </c>
      <c r="K75" s="39">
        <f t="shared" si="26"/>
        <v>0.34833544868862887</v>
      </c>
      <c r="M75" s="5" t="s">
        <v>14</v>
      </c>
      <c r="N75" s="39">
        <f>N62/N58</f>
        <v>4.6805828740738159E-2</v>
      </c>
      <c r="O75" s="39">
        <f t="shared" ref="O75:Q75" si="27">O62/O58</f>
        <v>4.5682298756220797E-2</v>
      </c>
      <c r="P75" s="39">
        <f t="shared" si="27"/>
        <v>4.4583027509122436E-2</v>
      </c>
      <c r="Q75" s="39">
        <f t="shared" si="27"/>
        <v>4.3507532327611967E-2</v>
      </c>
    </row>
    <row r="76" spans="1:39" s="32" customFormat="1" x14ac:dyDescent="0.2">
      <c r="A76" s="5" t="s">
        <v>14</v>
      </c>
      <c r="B76" s="39">
        <f>B60/B56</f>
        <v>4.4776186233113781E-2</v>
      </c>
      <c r="C76" s="39">
        <f t="shared" ref="C76:E76" si="28">C60/C56</f>
        <v>4.3898221797170373E-2</v>
      </c>
      <c r="D76" s="39">
        <f t="shared" si="28"/>
        <v>4.3037472350167028E-2</v>
      </c>
      <c r="E76" s="39">
        <f t="shared" si="28"/>
        <v>4.2193600343301003E-2</v>
      </c>
      <c r="F76" s="5"/>
      <c r="G76" t="s">
        <v>100</v>
      </c>
      <c r="H76" s="39">
        <f>H66/H60</f>
        <v>0.20105352044714303</v>
      </c>
      <c r="I76" s="39">
        <f>I66/I60</f>
        <v>0.20067111400387733</v>
      </c>
      <c r="J76" s="39">
        <f t="shared" ref="J76:K76" si="29">J66/J60</f>
        <v>0.20028464903604778</v>
      </c>
      <c r="K76" s="39">
        <f t="shared" si="29"/>
        <v>0.19989410123363313</v>
      </c>
      <c r="M76" t="s">
        <v>99</v>
      </c>
      <c r="N76" s="39">
        <f>B62/N58</f>
        <v>0.22640959018775669</v>
      </c>
      <c r="O76" s="39">
        <f>C62/O58</f>
        <v>0.22539433730511174</v>
      </c>
      <c r="P76" s="39">
        <f>D62/P58</f>
        <v>0.22436999578284011</v>
      </c>
      <c r="Q76" s="39">
        <f>E62/Q58</f>
        <v>0.22333657219057332</v>
      </c>
    </row>
    <row r="77" spans="1:39" s="32" customFormat="1" x14ac:dyDescent="0.2">
      <c r="A77" t="s">
        <v>99</v>
      </c>
      <c r="B77" s="39">
        <f>B62/B56</f>
        <v>0.31044822454958887</v>
      </c>
      <c r="C77" s="39">
        <f t="shared" ref="C77:E77" si="30">C62/C56</f>
        <v>0.31044822454958887</v>
      </c>
      <c r="D77" s="39">
        <f t="shared" si="30"/>
        <v>0.31044822454958887</v>
      </c>
      <c r="E77" s="39">
        <f t="shared" si="30"/>
        <v>0.31044822454958887</v>
      </c>
      <c r="F77" s="5"/>
      <c r="G77" s="5" t="s">
        <v>14</v>
      </c>
      <c r="H77" s="39">
        <f>H64/H60</f>
        <v>5.2273915316257184E-2</v>
      </c>
      <c r="I77" s="39">
        <f t="shared" ref="I77:K77" si="31">I64/I60</f>
        <v>5.0410134918848409E-2</v>
      </c>
      <c r="J77" s="39">
        <f t="shared" si="31"/>
        <v>4.8611644378512849E-2</v>
      </c>
      <c r="K77" s="39">
        <f t="shared" si="31"/>
        <v>4.6876186893572556E-2</v>
      </c>
      <c r="M77" t="s">
        <v>101</v>
      </c>
      <c r="N77" s="39">
        <f>(N55+N57+N56)/N58</f>
        <v>3.5594199995863669E-2</v>
      </c>
      <c r="O77" s="39">
        <f>(O55+O57+O56)/O58</f>
        <v>3.6476784367321886E-2</v>
      </c>
      <c r="P77" s="39">
        <f>(P55+P57+P56)/P58</f>
        <v>3.7378980511674528E-2</v>
      </c>
      <c r="Q77" s="39">
        <f>(Q55+Q57+Q56)/Q58</f>
        <v>3.8301135174920557E-2</v>
      </c>
    </row>
    <row r="78" spans="1:39" x14ac:dyDescent="0.2">
      <c r="B78" s="31"/>
      <c r="C78" s="31"/>
      <c r="D78" s="31"/>
      <c r="E78" s="31"/>
      <c r="G78" s="35"/>
      <c r="H78" s="54"/>
      <c r="I78" s="54"/>
      <c r="J78" s="54"/>
      <c r="K78" s="54"/>
      <c r="M78" s="35"/>
      <c r="N78" s="54"/>
      <c r="O78" s="54"/>
      <c r="P78" s="54"/>
      <c r="Q78" s="54"/>
    </row>
    <row r="79" spans="1:39" s="38" customFormat="1" ht="15" x14ac:dyDescent="0.2">
      <c r="A79" s="49" t="s">
        <v>7</v>
      </c>
      <c r="B79" s="50"/>
      <c r="C79" s="5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
      <c r="AL79" s="5"/>
      <c r="AM79" s="5"/>
    </row>
    <row r="80" spans="1:39" x14ac:dyDescent="0.2">
      <c r="A80"/>
      <c r="B80"/>
      <c r="C80"/>
      <c r="D80"/>
      <c r="E80"/>
      <c r="F80"/>
      <c r="G80"/>
      <c r="H80"/>
      <c r="I80"/>
      <c r="J80"/>
      <c r="K80"/>
      <c r="L80"/>
      <c r="M80"/>
      <c r="N80"/>
      <c r="O80"/>
      <c r="P80"/>
      <c r="Q80"/>
      <c r="R80"/>
      <c r="S80"/>
      <c r="T80"/>
      <c r="U80"/>
      <c r="V80"/>
      <c r="W80"/>
      <c r="X80"/>
      <c r="Y80"/>
      <c r="Z80"/>
      <c r="AA80"/>
      <c r="AB80"/>
      <c r="AC80"/>
      <c r="AD80"/>
      <c r="AE80"/>
      <c r="AF80"/>
      <c r="AG80"/>
    </row>
    <row r="81" spans="1:33" ht="15" thickBot="1" x14ac:dyDescent="0.25">
      <c r="A81" s="16" t="s">
        <v>116</v>
      </c>
      <c r="B81" s="16"/>
      <c r="C81" s="16"/>
      <c r="D81" s="16"/>
      <c r="E81" s="16"/>
      <c r="F81" s="16"/>
      <c r="G81" s="16"/>
      <c r="H81" s="16"/>
      <c r="I81" s="16"/>
      <c r="J81" s="16"/>
      <c r="K81" s="16"/>
      <c r="L81" s="16"/>
      <c r="M81" s="16"/>
      <c r="N81"/>
      <c r="O81"/>
      <c r="P81"/>
      <c r="Q81"/>
      <c r="R81"/>
      <c r="S81"/>
      <c r="T81"/>
      <c r="U81"/>
      <c r="V81"/>
      <c r="W81"/>
      <c r="X81"/>
      <c r="Y81"/>
      <c r="Z81"/>
      <c r="AA81"/>
      <c r="AB81"/>
      <c r="AC81"/>
      <c r="AD81"/>
      <c r="AE81"/>
      <c r="AF81"/>
      <c r="AG81"/>
    </row>
    <row r="82" spans="1:33" ht="4" customHeight="1" thickBot="1" x14ac:dyDescent="0.25">
      <c r="A82" s="16"/>
      <c r="B82" s="1"/>
      <c r="C82" s="16"/>
      <c r="D82" s="16"/>
      <c r="E82" s="16"/>
      <c r="F82" s="1"/>
      <c r="G82" s="16"/>
      <c r="H82" s="1"/>
      <c r="I82" s="16"/>
      <c r="J82" s="16"/>
      <c r="K82" s="16"/>
      <c r="L82" s="1"/>
      <c r="M82" s="16"/>
      <c r="N82" s="1"/>
      <c r="O82" s="1"/>
      <c r="P82" s="1"/>
      <c r="Q82" s="1"/>
      <c r="R82" s="1"/>
      <c r="S82" s="1"/>
      <c r="T82" s="1"/>
      <c r="U82" s="1"/>
      <c r="V82" s="1"/>
      <c r="W82"/>
      <c r="X82"/>
      <c r="Y82"/>
      <c r="Z82"/>
      <c r="AA82"/>
      <c r="AB82"/>
      <c r="AC82"/>
      <c r="AD82"/>
      <c r="AE82"/>
      <c r="AF82"/>
      <c r="AG82"/>
    </row>
    <row r="83" spans="1:33" ht="18" thickBot="1" x14ac:dyDescent="0.25">
      <c r="A83" s="72" t="s">
        <v>105</v>
      </c>
      <c r="B83" s="1"/>
      <c r="C83" s="177" t="s">
        <v>114</v>
      </c>
      <c r="D83" s="178"/>
      <c r="E83" s="179"/>
      <c r="F83"/>
      <c r="G83" s="72" t="s">
        <v>107</v>
      </c>
      <c r="H83"/>
      <c r="I83" s="177" t="s">
        <v>108</v>
      </c>
      <c r="J83" s="178"/>
      <c r="K83" s="179"/>
      <c r="L83"/>
      <c r="M83" s="72" t="s">
        <v>111</v>
      </c>
      <c r="N83"/>
      <c r="O83"/>
      <c r="P83"/>
      <c r="Q83"/>
      <c r="R83"/>
      <c r="S83"/>
      <c r="T83"/>
      <c r="U83"/>
      <c r="V83"/>
      <c r="W83"/>
      <c r="X83"/>
      <c r="Y83"/>
      <c r="Z83"/>
      <c r="AA83"/>
      <c r="AB83"/>
      <c r="AC83"/>
      <c r="AD83"/>
      <c r="AE83"/>
      <c r="AF83"/>
      <c r="AG83"/>
    </row>
    <row r="84" spans="1:33" ht="175" customHeight="1" x14ac:dyDescent="0.2">
      <c r="A84" s="74" t="s">
        <v>113</v>
      </c>
      <c r="B84"/>
      <c r="C84" s="174" t="s">
        <v>106</v>
      </c>
      <c r="D84" s="175"/>
      <c r="E84" s="176"/>
      <c r="F84"/>
      <c r="G84" s="74" t="s">
        <v>110</v>
      </c>
      <c r="H84"/>
      <c r="I84" s="174" t="s">
        <v>109</v>
      </c>
      <c r="J84" s="175"/>
      <c r="K84" s="176"/>
      <c r="L84"/>
      <c r="M84" s="74" t="s">
        <v>115</v>
      </c>
      <c r="N84"/>
      <c r="O84"/>
      <c r="P84"/>
      <c r="Q84"/>
      <c r="R84"/>
      <c r="S84"/>
      <c r="T84"/>
      <c r="U84"/>
      <c r="V84"/>
      <c r="W84"/>
      <c r="X84"/>
      <c r="Y84"/>
      <c r="Z84"/>
      <c r="AA84"/>
      <c r="AB84"/>
      <c r="AC84"/>
      <c r="AD84"/>
      <c r="AE84"/>
      <c r="AF84"/>
      <c r="AG84"/>
    </row>
    <row r="85" spans="1:33" ht="15" thickBot="1" x14ac:dyDescent="0.25">
      <c r="A85" s="1"/>
      <c r="B85"/>
      <c r="C85"/>
      <c r="D85"/>
      <c r="E85"/>
      <c r="F85"/>
      <c r="G85"/>
      <c r="H85"/>
      <c r="I85"/>
      <c r="J85"/>
      <c r="K85"/>
      <c r="L85"/>
      <c r="M85"/>
      <c r="N85"/>
      <c r="O85"/>
      <c r="P85"/>
      <c r="Q85"/>
      <c r="R85"/>
      <c r="S85"/>
      <c r="T85"/>
      <c r="U85"/>
      <c r="V85"/>
      <c r="W85"/>
      <c r="X85"/>
      <c r="Y85"/>
      <c r="Z85"/>
      <c r="AA85"/>
      <c r="AB85"/>
      <c r="AC85"/>
      <c r="AD85"/>
      <c r="AE85"/>
      <c r="AF85"/>
      <c r="AG85"/>
    </row>
    <row r="86" spans="1:33" ht="18" thickBot="1" x14ac:dyDescent="0.25">
      <c r="A86" s="73" t="s">
        <v>112</v>
      </c>
      <c r="B86"/>
      <c r="C86" s="182" t="s">
        <v>112</v>
      </c>
      <c r="D86" s="183"/>
      <c r="E86" s="184"/>
      <c r="F86"/>
      <c r="G86" s="73" t="s">
        <v>112</v>
      </c>
      <c r="H86"/>
      <c r="I86" s="182" t="s">
        <v>112</v>
      </c>
      <c r="J86" s="183"/>
      <c r="K86" s="184"/>
      <c r="L86"/>
      <c r="M86" s="73" t="s">
        <v>112</v>
      </c>
      <c r="N86"/>
      <c r="O86"/>
      <c r="P86"/>
      <c r="Q86"/>
      <c r="R86"/>
      <c r="S86"/>
      <c r="T86"/>
      <c r="U86"/>
      <c r="V86"/>
      <c r="W86"/>
      <c r="X86"/>
      <c r="Y86"/>
      <c r="Z86"/>
      <c r="AA86"/>
      <c r="AB86"/>
      <c r="AC86"/>
      <c r="AD86"/>
      <c r="AE86"/>
      <c r="AF86"/>
      <c r="AG86"/>
    </row>
    <row r="87" spans="1:33" ht="133" customHeight="1" x14ac:dyDescent="0.2">
      <c r="A87" s="75" t="s">
        <v>117</v>
      </c>
      <c r="B87"/>
      <c r="C87" s="185" t="s">
        <v>118</v>
      </c>
      <c r="D87" s="186"/>
      <c r="E87" s="187"/>
      <c r="F87"/>
      <c r="G87" s="75" t="s">
        <v>120</v>
      </c>
      <c r="H87"/>
      <c r="I87" s="185" t="s">
        <v>119</v>
      </c>
      <c r="J87" s="186"/>
      <c r="K87" s="187"/>
      <c r="L87"/>
      <c r="M87" s="75" t="s">
        <v>121</v>
      </c>
      <c r="N87"/>
      <c r="O87"/>
      <c r="P87"/>
      <c r="Q87"/>
      <c r="R87"/>
      <c r="S87"/>
      <c r="T87"/>
      <c r="U87"/>
      <c r="V87"/>
      <c r="W87"/>
      <c r="X87"/>
      <c r="Y87"/>
      <c r="Z87"/>
      <c r="AA87"/>
      <c r="AB87"/>
      <c r="AC87"/>
      <c r="AD87"/>
      <c r="AE87"/>
      <c r="AF87"/>
      <c r="AG87"/>
    </row>
    <row r="88" spans="1:33" ht="5" customHeight="1" x14ac:dyDescent="0.2">
      <c r="B88"/>
      <c r="C88"/>
      <c r="D88"/>
      <c r="E88"/>
      <c r="F88"/>
      <c r="G88"/>
      <c r="H88"/>
      <c r="I88"/>
      <c r="J88"/>
      <c r="K88"/>
      <c r="L88"/>
      <c r="M88"/>
      <c r="N88"/>
      <c r="O88"/>
      <c r="P88"/>
      <c r="Q88"/>
      <c r="R88"/>
      <c r="S88"/>
      <c r="T88"/>
      <c r="U88"/>
      <c r="V88"/>
      <c r="W88"/>
      <c r="X88"/>
      <c r="Y88"/>
      <c r="Z88"/>
      <c r="AA88"/>
      <c r="AB88"/>
      <c r="AC88"/>
      <c r="AD88"/>
      <c r="AE88"/>
      <c r="AF88"/>
      <c r="AG88"/>
    </row>
    <row r="89" spans="1:33" ht="15" thickBot="1" x14ac:dyDescent="0.25">
      <c r="A89" s="16" t="s">
        <v>131</v>
      </c>
      <c r="B89" s="16"/>
      <c r="C89" s="16"/>
      <c r="D89" s="16"/>
      <c r="E89" s="16"/>
      <c r="F89" s="16"/>
      <c r="G89" s="16"/>
      <c r="H89" s="16"/>
      <c r="I89" s="16"/>
      <c r="J89" s="16"/>
      <c r="K89" s="16"/>
      <c r="L89" s="16"/>
      <c r="M89" s="16"/>
      <c r="N89"/>
      <c r="O89"/>
      <c r="P89"/>
      <c r="Q89"/>
      <c r="R89"/>
      <c r="S89"/>
      <c r="T89"/>
      <c r="U89"/>
      <c r="V89"/>
      <c r="W89"/>
      <c r="X89"/>
      <c r="Y89"/>
      <c r="Z89"/>
      <c r="AA89"/>
      <c r="AB89"/>
      <c r="AC89"/>
      <c r="AD89"/>
      <c r="AE89"/>
      <c r="AF89"/>
      <c r="AG89"/>
    </row>
    <row r="90" spans="1:33" x14ac:dyDescent="0.2">
      <c r="A90" s="79" t="s">
        <v>122</v>
      </c>
      <c r="B90" s="30">
        <v>2024</v>
      </c>
      <c r="C90" s="30">
        <v>2025</v>
      </c>
      <c r="D90" s="30">
        <v>2026</v>
      </c>
      <c r="E90" s="30">
        <v>2027</v>
      </c>
      <c r="F90" s="1" t="s">
        <v>123</v>
      </c>
      <c r="G90"/>
      <c r="H90"/>
      <c r="I90"/>
      <c r="J90"/>
      <c r="K90"/>
      <c r="L90"/>
      <c r="M90"/>
      <c r="N90"/>
      <c r="O90"/>
      <c r="P90"/>
      <c r="Q90"/>
      <c r="R90"/>
      <c r="S90"/>
      <c r="T90"/>
      <c r="U90"/>
      <c r="V90"/>
      <c r="W90"/>
      <c r="X90"/>
      <c r="Y90"/>
      <c r="Z90"/>
      <c r="AA90"/>
      <c r="AB90"/>
      <c r="AC90"/>
      <c r="AD90"/>
      <c r="AE90"/>
      <c r="AF90"/>
      <c r="AG90"/>
    </row>
    <row r="91" spans="1:33" x14ac:dyDescent="0.2">
      <c r="A91" t="s">
        <v>185</v>
      </c>
      <c r="B91" s="20">
        <v>0</v>
      </c>
      <c r="C91" s="20">
        <v>0.03</v>
      </c>
      <c r="D91" s="20">
        <v>3.5000000000000003E-2</v>
      </c>
      <c r="E91" s="20">
        <v>0.04</v>
      </c>
      <c r="F91" t="s">
        <v>176</v>
      </c>
      <c r="G91"/>
      <c r="H91"/>
      <c r="I91"/>
      <c r="J91"/>
      <c r="K91"/>
      <c r="L91"/>
      <c r="M91"/>
      <c r="N91"/>
      <c r="O91"/>
      <c r="P91"/>
      <c r="Q91"/>
      <c r="R91"/>
      <c r="S91"/>
      <c r="T91"/>
      <c r="U91"/>
      <c r="V91"/>
      <c r="W91"/>
      <c r="X91"/>
      <c r="Y91"/>
      <c r="Z91"/>
      <c r="AA91"/>
      <c r="AB91"/>
      <c r="AC91"/>
      <c r="AD91"/>
      <c r="AE91"/>
      <c r="AF91"/>
      <c r="AG91"/>
    </row>
    <row r="92" spans="1:33" ht="14" customHeight="1" x14ac:dyDescent="0.2">
      <c r="A92" t="s">
        <v>178</v>
      </c>
      <c r="B92" s="76">
        <v>0</v>
      </c>
      <c r="C92" s="77">
        <v>0.05</v>
      </c>
      <c r="D92" s="77">
        <v>7.4999999999999997E-2</v>
      </c>
      <c r="E92" s="77">
        <v>0.1</v>
      </c>
      <c r="F92" t="s">
        <v>151</v>
      </c>
      <c r="G92"/>
      <c r="H92"/>
      <c r="I92"/>
      <c r="J92"/>
      <c r="K92"/>
      <c r="L92"/>
      <c r="M92"/>
      <c r="N92"/>
      <c r="O92"/>
      <c r="P92"/>
      <c r="Q92"/>
      <c r="R92"/>
      <c r="S92"/>
      <c r="T92"/>
      <c r="U92"/>
      <c r="V92"/>
      <c r="W92"/>
      <c r="X92"/>
      <c r="Y92"/>
      <c r="Z92"/>
      <c r="AA92"/>
      <c r="AB92"/>
      <c r="AC92"/>
      <c r="AD92"/>
      <c r="AE92"/>
      <c r="AF92"/>
      <c r="AG92"/>
    </row>
    <row r="93" spans="1:33" x14ac:dyDescent="0.2">
      <c r="A93" t="s">
        <v>125</v>
      </c>
      <c r="B93" s="78">
        <v>0</v>
      </c>
      <c r="C93" s="78">
        <v>0</v>
      </c>
      <c r="D93" s="78">
        <v>5000</v>
      </c>
      <c r="E93" s="78">
        <v>10000</v>
      </c>
      <c r="F93" t="s">
        <v>154</v>
      </c>
      <c r="G93"/>
      <c r="H93"/>
      <c r="I93"/>
      <c r="J93"/>
      <c r="K93"/>
      <c r="L93"/>
      <c r="M93"/>
      <c r="N93"/>
      <c r="O93"/>
      <c r="P93"/>
      <c r="Q93"/>
      <c r="R93"/>
      <c r="S93"/>
      <c r="T93"/>
      <c r="U93"/>
      <c r="V93"/>
      <c r="W93"/>
      <c r="X93"/>
      <c r="Y93"/>
      <c r="Z93"/>
      <c r="AA93"/>
      <c r="AB93"/>
      <c r="AC93"/>
      <c r="AD93"/>
      <c r="AE93"/>
      <c r="AF93"/>
      <c r="AG93"/>
    </row>
    <row r="94" spans="1:33" x14ac:dyDescent="0.2">
      <c r="A94" t="s">
        <v>148</v>
      </c>
      <c r="B94" s="78">
        <v>0</v>
      </c>
      <c r="C94" s="78">
        <v>0</v>
      </c>
      <c r="D94" s="81">
        <f>12*15</f>
        <v>180</v>
      </c>
      <c r="E94" s="81">
        <f>12*30</f>
        <v>360</v>
      </c>
      <c r="F94" t="s">
        <v>149</v>
      </c>
      <c r="G94"/>
      <c r="H94"/>
      <c r="I94"/>
      <c r="J94"/>
      <c r="K94"/>
      <c r="L94"/>
      <c r="M94"/>
      <c r="N94"/>
      <c r="O94"/>
      <c r="P94"/>
      <c r="Q94"/>
      <c r="R94"/>
      <c r="S94"/>
      <c r="T94"/>
      <c r="U94"/>
      <c r="V94"/>
      <c r="W94"/>
      <c r="X94"/>
      <c r="Y94"/>
      <c r="Z94"/>
      <c r="AA94"/>
      <c r="AB94"/>
      <c r="AC94"/>
      <c r="AD94"/>
      <c r="AE94"/>
      <c r="AF94"/>
      <c r="AG94"/>
    </row>
    <row r="95" spans="1:33" x14ac:dyDescent="0.2">
      <c r="A95" t="s">
        <v>124</v>
      </c>
      <c r="B95" s="76">
        <v>0</v>
      </c>
      <c r="C95" s="76">
        <v>-0.3</v>
      </c>
      <c r="D95" s="76">
        <v>-0.7</v>
      </c>
      <c r="E95" s="76">
        <v>-1</v>
      </c>
      <c r="F95" t="s">
        <v>174</v>
      </c>
      <c r="G95"/>
      <c r="H95"/>
      <c r="I95"/>
      <c r="J95"/>
      <c r="K95"/>
      <c r="L95"/>
      <c r="M95"/>
      <c r="N95"/>
      <c r="O95"/>
      <c r="P95"/>
      <c r="Q95"/>
      <c r="R95"/>
      <c r="S95"/>
      <c r="T95"/>
      <c r="U95"/>
      <c r="V95"/>
      <c r="W95"/>
      <c r="X95"/>
      <c r="Y95"/>
      <c r="Z95"/>
      <c r="AA95"/>
      <c r="AB95"/>
      <c r="AC95"/>
      <c r="AD95"/>
      <c r="AE95"/>
      <c r="AF95"/>
      <c r="AG95"/>
    </row>
    <row r="96" spans="1:33" x14ac:dyDescent="0.2">
      <c r="A96" t="s">
        <v>137</v>
      </c>
      <c r="B96" s="82">
        <f>N64/(SUM(N21:N25,N28:N30))</f>
        <v>37.113460476053319</v>
      </c>
      <c r="C96" s="82">
        <v>33</v>
      </c>
      <c r="D96" s="82">
        <v>29</v>
      </c>
      <c r="E96" s="82">
        <v>25</v>
      </c>
      <c r="F96" t="s">
        <v>138</v>
      </c>
      <c r="G96"/>
      <c r="H96"/>
      <c r="I96"/>
      <c r="J96"/>
      <c r="K96"/>
      <c r="L96"/>
      <c r="M96"/>
      <c r="N96"/>
      <c r="O96"/>
      <c r="P96"/>
      <c r="Q96"/>
      <c r="R96"/>
      <c r="S96"/>
      <c r="T96"/>
      <c r="U96"/>
      <c r="V96"/>
      <c r="W96"/>
      <c r="X96"/>
      <c r="Y96"/>
      <c r="Z96"/>
      <c r="AA96"/>
      <c r="AB96"/>
      <c r="AC96"/>
      <c r="AD96"/>
      <c r="AE96"/>
      <c r="AF96"/>
      <c r="AG96"/>
    </row>
    <row r="97" spans="1:33" x14ac:dyDescent="0.2">
      <c r="A97" t="s">
        <v>140</v>
      </c>
      <c r="B97" s="82">
        <f>'Input Data'!B37</f>
        <v>800000</v>
      </c>
      <c r="C97" s="82">
        <v>750000</v>
      </c>
      <c r="D97" s="82">
        <v>500000</v>
      </c>
      <c r="E97" s="82">
        <v>60000</v>
      </c>
      <c r="F97" t="s">
        <v>175</v>
      </c>
      <c r="G97"/>
      <c r="H97"/>
      <c r="I97"/>
      <c r="J97"/>
      <c r="K97"/>
      <c r="L97"/>
      <c r="M97"/>
      <c r="N97"/>
      <c r="O97"/>
      <c r="P97"/>
      <c r="Q97"/>
      <c r="R97"/>
      <c r="S97"/>
      <c r="T97"/>
      <c r="U97"/>
      <c r="V97"/>
      <c r="W97"/>
      <c r="X97"/>
      <c r="Y97"/>
      <c r="Z97"/>
      <c r="AA97"/>
      <c r="AB97"/>
      <c r="AC97"/>
      <c r="AD97"/>
      <c r="AE97"/>
      <c r="AF97"/>
      <c r="AG97"/>
    </row>
    <row r="98" spans="1:33" x14ac:dyDescent="0.2">
      <c r="A98" s="79" t="s">
        <v>127</v>
      </c>
      <c r="B98" s="30">
        <v>2024</v>
      </c>
      <c r="C98" s="30">
        <v>2025</v>
      </c>
      <c r="D98" s="30">
        <v>2026</v>
      </c>
      <c r="E98" s="30">
        <v>2027</v>
      </c>
      <c r="F98"/>
      <c r="G98"/>
      <c r="H98"/>
      <c r="I98"/>
      <c r="J98"/>
      <c r="K98"/>
      <c r="L98"/>
      <c r="M98"/>
      <c r="N98"/>
      <c r="O98"/>
      <c r="P98"/>
      <c r="Q98"/>
      <c r="R98"/>
      <c r="S98"/>
      <c r="T98"/>
      <c r="U98"/>
      <c r="V98"/>
      <c r="W98"/>
      <c r="X98"/>
      <c r="Y98"/>
      <c r="Z98"/>
      <c r="AA98"/>
      <c r="AB98"/>
      <c r="AC98"/>
      <c r="AD98"/>
      <c r="AE98"/>
      <c r="AF98"/>
      <c r="AG98"/>
    </row>
    <row r="99" spans="1:33" x14ac:dyDescent="0.2">
      <c r="A99" t="s">
        <v>126</v>
      </c>
      <c r="B99" s="78">
        <v>0</v>
      </c>
      <c r="C99" s="78">
        <v>-4</v>
      </c>
      <c r="D99" s="78">
        <v>-12</v>
      </c>
      <c r="E99" s="78">
        <v>0</v>
      </c>
      <c r="F99" t="s">
        <v>132</v>
      </c>
      <c r="G99"/>
      <c r="H99"/>
      <c r="I99"/>
      <c r="J99"/>
      <c r="K99"/>
      <c r="L99"/>
      <c r="M99"/>
      <c r="N99"/>
      <c r="O99"/>
      <c r="P99"/>
      <c r="Q99"/>
      <c r="R99"/>
      <c r="S99"/>
      <c r="T99"/>
      <c r="U99"/>
      <c r="V99"/>
      <c r="W99"/>
      <c r="X99"/>
      <c r="Y99"/>
      <c r="Z99"/>
      <c r="AA99"/>
      <c r="AB99"/>
      <c r="AC99"/>
      <c r="AD99"/>
      <c r="AE99"/>
      <c r="AF99"/>
      <c r="AG99"/>
    </row>
    <row r="100" spans="1:33" x14ac:dyDescent="0.2">
      <c r="A100" t="s">
        <v>128</v>
      </c>
      <c r="B100">
        <v>0</v>
      </c>
      <c r="C100">
        <v>0</v>
      </c>
      <c r="D100">
        <v>-5</v>
      </c>
      <c r="E100">
        <v>-10</v>
      </c>
      <c r="F100" t="s">
        <v>164</v>
      </c>
      <c r="G100"/>
      <c r="H100"/>
      <c r="I100"/>
      <c r="J100"/>
      <c r="K100"/>
      <c r="L100"/>
      <c r="M100"/>
      <c r="N100"/>
      <c r="O100"/>
      <c r="P100"/>
      <c r="Q100"/>
      <c r="R100"/>
      <c r="S100"/>
      <c r="T100"/>
      <c r="U100"/>
      <c r="V100"/>
      <c r="W100"/>
      <c r="X100"/>
      <c r="Y100"/>
      <c r="Z100"/>
      <c r="AA100"/>
      <c r="AB100"/>
      <c r="AC100"/>
      <c r="AD100"/>
      <c r="AE100"/>
      <c r="AF100"/>
      <c r="AG100"/>
    </row>
    <row r="101" spans="1:33" x14ac:dyDescent="0.2">
      <c r="A101" t="s">
        <v>129</v>
      </c>
      <c r="B101">
        <v>0</v>
      </c>
      <c r="C101">
        <v>10</v>
      </c>
      <c r="D101">
        <v>10</v>
      </c>
      <c r="E101">
        <v>12</v>
      </c>
      <c r="F101" t="s">
        <v>130</v>
      </c>
      <c r="G101"/>
      <c r="H101"/>
      <c r="I101"/>
      <c r="J101"/>
      <c r="K101"/>
      <c r="L101"/>
      <c r="M101"/>
      <c r="N101"/>
      <c r="O101"/>
      <c r="P101"/>
      <c r="Q101"/>
      <c r="R101"/>
      <c r="S101"/>
      <c r="T101"/>
      <c r="U101"/>
      <c r="V101"/>
      <c r="W101"/>
      <c r="X101"/>
      <c r="Y101"/>
      <c r="Z101"/>
      <c r="AA101"/>
      <c r="AB101"/>
      <c r="AC101"/>
      <c r="AD101"/>
      <c r="AE101"/>
      <c r="AF101"/>
      <c r="AG101"/>
    </row>
    <row r="102" spans="1:33" x14ac:dyDescent="0.2">
      <c r="A102" s="79" t="s">
        <v>133</v>
      </c>
      <c r="B102" s="30">
        <v>2024</v>
      </c>
      <c r="C102" s="30">
        <v>2025</v>
      </c>
      <c r="D102" s="30">
        <v>2026</v>
      </c>
      <c r="E102" s="30">
        <v>2027</v>
      </c>
      <c r="F102"/>
      <c r="G102"/>
      <c r="H102"/>
      <c r="I102"/>
      <c r="J102"/>
      <c r="K102"/>
      <c r="L102"/>
      <c r="M102"/>
      <c r="N102"/>
      <c r="O102"/>
      <c r="P102"/>
      <c r="Q102"/>
      <c r="R102"/>
      <c r="S102"/>
      <c r="T102"/>
      <c r="U102"/>
      <c r="V102"/>
      <c r="W102"/>
      <c r="X102"/>
      <c r="Y102"/>
      <c r="Z102"/>
      <c r="AA102"/>
      <c r="AB102"/>
      <c r="AC102"/>
      <c r="AD102"/>
      <c r="AE102"/>
      <c r="AF102"/>
      <c r="AG102"/>
    </row>
    <row r="103" spans="1:33" x14ac:dyDescent="0.2">
      <c r="A103" t="s">
        <v>126</v>
      </c>
      <c r="B103" s="80">
        <f>N41</f>
        <v>53750</v>
      </c>
      <c r="C103" s="80">
        <v>53750</v>
      </c>
      <c r="D103" s="80">
        <v>56000</v>
      </c>
      <c r="E103" s="80">
        <v>60000</v>
      </c>
      <c r="F103" t="s">
        <v>157</v>
      </c>
      <c r="G103"/>
      <c r="H103"/>
      <c r="I103"/>
      <c r="J103"/>
      <c r="K103"/>
      <c r="L103"/>
      <c r="M103"/>
      <c r="N103"/>
      <c r="O103"/>
      <c r="P103"/>
      <c r="Q103"/>
      <c r="R103"/>
      <c r="S103"/>
      <c r="T103"/>
      <c r="U103"/>
      <c r="V103"/>
      <c r="W103"/>
      <c r="X103"/>
      <c r="Y103"/>
      <c r="Z103"/>
      <c r="AA103"/>
      <c r="AB103"/>
      <c r="AC103"/>
      <c r="AD103"/>
      <c r="AE103"/>
      <c r="AF103"/>
      <c r="AG103"/>
    </row>
    <row r="104" spans="1:33" x14ac:dyDescent="0.2">
      <c r="A104" t="s">
        <v>128</v>
      </c>
      <c r="B104" s="80">
        <f>N44</f>
        <v>52979.354838709674</v>
      </c>
      <c r="C104" s="80">
        <v>52979.354838709674</v>
      </c>
      <c r="D104" s="80">
        <v>55000</v>
      </c>
      <c r="E104" s="80">
        <v>59000</v>
      </c>
      <c r="F104" t="s">
        <v>130</v>
      </c>
      <c r="G104"/>
      <c r="H104"/>
      <c r="I104"/>
      <c r="J104"/>
      <c r="K104"/>
      <c r="L104"/>
      <c r="M104"/>
      <c r="N104"/>
      <c r="O104"/>
      <c r="P104"/>
      <c r="Q104"/>
      <c r="R104"/>
      <c r="S104"/>
      <c r="T104"/>
      <c r="U104"/>
      <c r="V104"/>
      <c r="W104"/>
      <c r="X104"/>
      <c r="Y104"/>
      <c r="Z104"/>
      <c r="AA104"/>
      <c r="AB104"/>
      <c r="AC104"/>
      <c r="AD104"/>
      <c r="AE104"/>
      <c r="AF104"/>
      <c r="AG104"/>
    </row>
    <row r="105" spans="1:33" x14ac:dyDescent="0.2">
      <c r="A105" t="s">
        <v>129</v>
      </c>
      <c r="B105" s="80">
        <f>N43</f>
        <v>108625</v>
      </c>
      <c r="C105" s="80">
        <v>108625</v>
      </c>
      <c r="D105" s="80">
        <v>110000</v>
      </c>
      <c r="E105" s="80">
        <v>115000</v>
      </c>
      <c r="F105" t="s">
        <v>130</v>
      </c>
      <c r="G105"/>
      <c r="H105"/>
      <c r="I105"/>
      <c r="J105"/>
      <c r="K105"/>
      <c r="L105"/>
      <c r="M105"/>
      <c r="N105"/>
      <c r="O105"/>
      <c r="P105"/>
      <c r="Q105"/>
      <c r="R105"/>
      <c r="S105"/>
      <c r="T105"/>
      <c r="U105"/>
      <c r="V105"/>
      <c r="W105"/>
      <c r="X105"/>
      <c r="Y105"/>
      <c r="Z105"/>
      <c r="AA105"/>
      <c r="AB105"/>
      <c r="AC105"/>
      <c r="AD105"/>
      <c r="AE105"/>
      <c r="AF105"/>
      <c r="AG105"/>
    </row>
    <row r="106" spans="1:33" x14ac:dyDescent="0.2">
      <c r="A106" s="79" t="s">
        <v>139</v>
      </c>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x14ac:dyDescent="0.2">
      <c r="A107" t="s">
        <v>144</v>
      </c>
      <c r="B107" s="82">
        <v>0</v>
      </c>
      <c r="C107" s="82">
        <v>750000</v>
      </c>
      <c r="D107" s="82">
        <v>2000000</v>
      </c>
      <c r="E107" s="82">
        <v>3000000</v>
      </c>
      <c r="F107" t="s">
        <v>143</v>
      </c>
      <c r="G107"/>
      <c r="H107"/>
      <c r="I107"/>
      <c r="J107"/>
      <c r="K107"/>
      <c r="L107"/>
      <c r="M107"/>
      <c r="N107"/>
      <c r="O107"/>
      <c r="P107"/>
      <c r="Q107"/>
      <c r="R107"/>
      <c r="S107"/>
      <c r="T107"/>
      <c r="U107"/>
      <c r="V107"/>
      <c r="W107"/>
      <c r="X107"/>
      <c r="Y107"/>
      <c r="Z107"/>
      <c r="AA107"/>
      <c r="AB107"/>
      <c r="AC107"/>
      <c r="AD107"/>
      <c r="AE107"/>
      <c r="AF107"/>
      <c r="AG107"/>
    </row>
    <row r="108" spans="1:33" x14ac:dyDescent="0.2">
      <c r="A108" t="s">
        <v>169</v>
      </c>
      <c r="B108" s="71">
        <f>N61/SUM(N35:N39)</f>
        <v>1342.9752066115702</v>
      </c>
      <c r="C108" s="82">
        <v>1400</v>
      </c>
      <c r="D108" s="82">
        <v>1500</v>
      </c>
      <c r="E108" s="63">
        <f>'Input Data'!F52</f>
        <v>1623.3766233766235</v>
      </c>
      <c r="F108" s="5" t="s">
        <v>170</v>
      </c>
      <c r="G108"/>
      <c r="H108"/>
      <c r="I108"/>
      <c r="J108"/>
      <c r="K108"/>
      <c r="L108"/>
      <c r="N108"/>
      <c r="O108"/>
      <c r="P108"/>
      <c r="Q108"/>
      <c r="R108"/>
      <c r="S108"/>
      <c r="T108"/>
      <c r="U108"/>
      <c r="V108"/>
      <c r="W108"/>
      <c r="X108"/>
      <c r="Y108"/>
      <c r="Z108"/>
      <c r="AA108"/>
      <c r="AB108"/>
      <c r="AC108"/>
      <c r="AD108"/>
      <c r="AE108"/>
      <c r="AF108"/>
      <c r="AG108"/>
    </row>
    <row r="109" spans="1:33" x14ac:dyDescent="0.2">
      <c r="A109" t="s">
        <v>173</v>
      </c>
      <c r="B109" s="76">
        <v>0</v>
      </c>
      <c r="C109" s="76">
        <v>0.15</v>
      </c>
      <c r="D109" s="76">
        <v>0.18</v>
      </c>
      <c r="E109" s="76">
        <v>0.21</v>
      </c>
      <c r="F109" s="84" t="s">
        <v>147</v>
      </c>
      <c r="G109"/>
      <c r="H109"/>
      <c r="I109"/>
      <c r="J109"/>
      <c r="K109"/>
      <c r="L109"/>
      <c r="M109"/>
      <c r="N109"/>
      <c r="O109"/>
      <c r="P109"/>
      <c r="Q109"/>
      <c r="R109"/>
      <c r="S109"/>
      <c r="T109"/>
      <c r="U109"/>
      <c r="V109"/>
      <c r="W109"/>
      <c r="X109"/>
      <c r="Y109"/>
      <c r="Z109"/>
      <c r="AA109"/>
      <c r="AB109"/>
      <c r="AC109"/>
      <c r="AD109"/>
      <c r="AE109"/>
      <c r="AF109"/>
      <c r="AG109"/>
    </row>
    <row r="110" spans="1:33" x14ac:dyDescent="0.2">
      <c r="B110" s="82"/>
      <c r="C110" s="82"/>
      <c r="D110" s="82"/>
      <c r="E110" s="82"/>
      <c r="F110" s="83" t="s">
        <v>146</v>
      </c>
      <c r="G110"/>
      <c r="H110"/>
      <c r="I110"/>
      <c r="J110"/>
      <c r="K110"/>
      <c r="L110"/>
      <c r="M110"/>
      <c r="N110"/>
      <c r="O110"/>
      <c r="P110"/>
      <c r="Q110"/>
      <c r="R110"/>
      <c r="S110"/>
      <c r="T110"/>
      <c r="U110"/>
      <c r="V110"/>
      <c r="W110"/>
      <c r="X110"/>
      <c r="Y110"/>
      <c r="Z110"/>
      <c r="AA110"/>
      <c r="AB110"/>
      <c r="AC110"/>
      <c r="AD110"/>
      <c r="AE110"/>
      <c r="AF110"/>
      <c r="AG110"/>
    </row>
    <row r="111" spans="1:33" x14ac:dyDescent="0.2">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thickBot="1" x14ac:dyDescent="0.25">
      <c r="A112" s="16" t="s">
        <v>52</v>
      </c>
      <c r="B112" s="16"/>
      <c r="C112" s="16"/>
      <c r="D112" s="16"/>
      <c r="E112" s="16"/>
      <c r="G112" s="1"/>
      <c r="H112" s="1"/>
      <c r="I112" s="1"/>
      <c r="J112" s="1"/>
      <c r="K112" s="1"/>
    </row>
    <row r="113" spans="1:33" x14ac:dyDescent="0.2">
      <c r="B113" s="85">
        <v>2024</v>
      </c>
      <c r="C113" s="85">
        <v>2025</v>
      </c>
      <c r="D113" s="85">
        <v>2026</v>
      </c>
      <c r="E113" s="85">
        <v>2027</v>
      </c>
    </row>
    <row r="114" spans="1:33" ht="15" x14ac:dyDescent="0.2">
      <c r="A114" s="1" t="s">
        <v>12</v>
      </c>
      <c r="B114" s="18">
        <f>N15</f>
        <v>100000</v>
      </c>
      <c r="C114" s="18">
        <f>B114*(1+C115)</f>
        <v>105300</v>
      </c>
      <c r="D114" s="18">
        <f t="shared" ref="D114:E114" si="32">C114*(1+D115)</f>
        <v>111411.1055718475</v>
      </c>
      <c r="E114" s="18">
        <f t="shared" si="32"/>
        <v>118437.8806950999</v>
      </c>
      <c r="AB114" s="51"/>
      <c r="AC114" s="51"/>
      <c r="AD114" s="51"/>
      <c r="AE114" s="51"/>
      <c r="AF114" s="51"/>
      <c r="AG114" s="51"/>
    </row>
    <row r="115" spans="1:33" x14ac:dyDescent="0.2">
      <c r="A115" s="48" t="s">
        <v>13</v>
      </c>
      <c r="B115" s="32"/>
      <c r="C115" s="41">
        <f>(C91+O16)</f>
        <v>5.2999999999999908E-2</v>
      </c>
      <c r="D115" s="41">
        <f>(D91+P16)</f>
        <v>5.8035190615835702E-2</v>
      </c>
      <c r="E115" s="41">
        <f>(E91+Q16)</f>
        <v>6.3070688394891911E-2</v>
      </c>
      <c r="AB115"/>
      <c r="AC115"/>
      <c r="AD115"/>
      <c r="AE115"/>
      <c r="AF115"/>
      <c r="AG115"/>
    </row>
    <row r="116" spans="1:33" x14ac:dyDescent="0.2">
      <c r="A116" s="1"/>
      <c r="B116" s="43"/>
      <c r="C116" s="43"/>
      <c r="D116" s="43"/>
      <c r="E116" s="43"/>
    </row>
    <row r="117" spans="1:33" s="51" customFormat="1" ht="16" thickBot="1" x14ac:dyDescent="0.25">
      <c r="A117" s="16" t="s">
        <v>95</v>
      </c>
      <c r="B117" s="16"/>
      <c r="C117" s="16"/>
      <c r="D117" s="16"/>
      <c r="E117" s="16"/>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row>
    <row r="118" spans="1:33" customFormat="1" x14ac:dyDescent="0.2">
      <c r="A118" s="5"/>
      <c r="B118" s="30">
        <v>2024</v>
      </c>
      <c r="C118" s="30">
        <v>2025</v>
      </c>
      <c r="D118" s="30">
        <v>2026</v>
      </c>
      <c r="E118" s="30">
        <v>2027</v>
      </c>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row>
    <row r="119" spans="1:33" x14ac:dyDescent="0.2">
      <c r="A119" s="1" t="s">
        <v>55</v>
      </c>
      <c r="B119" s="30"/>
      <c r="C119" s="30"/>
      <c r="D119" s="30"/>
      <c r="E119" s="30"/>
      <c r="G119" s="71"/>
    </row>
    <row r="120" spans="1:33" x14ac:dyDescent="0.2">
      <c r="A120" s="5" t="s">
        <v>24</v>
      </c>
      <c r="B120" s="18">
        <f>N21</f>
        <v>145000</v>
      </c>
      <c r="C120" s="18">
        <f>B120*(1+C125)</f>
        <v>152685</v>
      </c>
      <c r="D120" s="18">
        <f t="shared" ref="D120:E120" si="33">C120*(1+D125)</f>
        <v>161546.10307917887</v>
      </c>
      <c r="E120" s="18">
        <f t="shared" si="33"/>
        <v>171734.92700789485</v>
      </c>
      <c r="G120" s="70"/>
    </row>
    <row r="121" spans="1:33" x14ac:dyDescent="0.2">
      <c r="A121" s="70"/>
      <c r="B121" s="18">
        <f t="shared" ref="B121:B124" si="34">N22</f>
        <v>11000</v>
      </c>
      <c r="C121" s="18">
        <f>B121*(1+C125)</f>
        <v>11583</v>
      </c>
      <c r="D121" s="18">
        <f t="shared" ref="D121:E121" si="35">C121*(1+D125)</f>
        <v>12255.221612903224</v>
      </c>
      <c r="E121" s="18">
        <f t="shared" si="35"/>
        <v>13028.166876460988</v>
      </c>
    </row>
    <row r="122" spans="1:33" x14ac:dyDescent="0.2">
      <c r="A122" s="5" t="s">
        <v>17</v>
      </c>
      <c r="B122" s="18">
        <f t="shared" si="34"/>
        <v>28133</v>
      </c>
      <c r="C122" s="18">
        <f>B122*(1+C125)</f>
        <v>29624.048999999999</v>
      </c>
      <c r="D122" s="18">
        <f t="shared" ref="D122:E122" si="36">C122*(1+D125)</f>
        <v>31343.286330527855</v>
      </c>
      <c r="E122" s="18">
        <f t="shared" si="36"/>
        <v>33320.128975952452</v>
      </c>
    </row>
    <row r="123" spans="1:33" x14ac:dyDescent="0.2">
      <c r="A123" s="5" t="s">
        <v>26</v>
      </c>
      <c r="B123" s="18">
        <f t="shared" si="34"/>
        <v>14300</v>
      </c>
      <c r="C123" s="18">
        <f>B123*(1+C125)</f>
        <v>15057.9</v>
      </c>
      <c r="D123" s="18">
        <f t="shared" ref="D123:E123" si="37">C123*(1+D125)</f>
        <v>15931.788096774191</v>
      </c>
      <c r="E123" s="18">
        <f t="shared" si="37"/>
        <v>16936.616939399286</v>
      </c>
    </row>
    <row r="124" spans="1:33" x14ac:dyDescent="0.2">
      <c r="A124" s="5" t="s">
        <v>30</v>
      </c>
      <c r="B124" s="18">
        <f t="shared" si="34"/>
        <v>850</v>
      </c>
      <c r="C124" s="18">
        <f>B124*(1+C125)</f>
        <v>895.05</v>
      </c>
      <c r="D124" s="18">
        <f t="shared" ref="D124:E124" si="38">C124*(1+D125)</f>
        <v>946.9943973607036</v>
      </c>
      <c r="E124" s="18">
        <f t="shared" si="38"/>
        <v>1006.721985908349</v>
      </c>
    </row>
    <row r="125" spans="1:33" x14ac:dyDescent="0.2">
      <c r="A125" s="48" t="s">
        <v>58</v>
      </c>
      <c r="C125" s="41">
        <f>C115</f>
        <v>5.2999999999999908E-2</v>
      </c>
      <c r="D125" s="41">
        <f>D115</f>
        <v>5.8035190615835702E-2</v>
      </c>
      <c r="E125" s="41">
        <f>E115</f>
        <v>6.3070688394891911E-2</v>
      </c>
      <c r="F125" s="5" t="s">
        <v>152</v>
      </c>
    </row>
    <row r="126" spans="1:33" x14ac:dyDescent="0.2">
      <c r="C126" s="86"/>
      <c r="D126" s="86"/>
      <c r="E126" s="86"/>
    </row>
    <row r="127" spans="1:33" x14ac:dyDescent="0.2">
      <c r="A127" s="5" t="s">
        <v>29</v>
      </c>
      <c r="B127" s="18">
        <f>N28</f>
        <v>6000</v>
      </c>
      <c r="C127" s="18">
        <f>B127*(1+$C130)</f>
        <v>6618</v>
      </c>
      <c r="D127" s="18">
        <f>C127*(1+$D130)</f>
        <v>7498.4268914956001</v>
      </c>
      <c r="E127" s="18">
        <f>D127*(1+$E130)</f>
        <v>8721.2005265705575</v>
      </c>
    </row>
    <row r="128" spans="1:33" x14ac:dyDescent="0.2">
      <c r="A128" s="5" t="s">
        <v>31</v>
      </c>
      <c r="B128" s="18">
        <f t="shared" ref="B128:B129" si="39">N29</f>
        <v>5000</v>
      </c>
      <c r="C128" s="18">
        <f>B128*(1+$C130)</f>
        <v>5515</v>
      </c>
      <c r="D128" s="18">
        <f>$C128*(1+D$130)</f>
        <v>6248.6890762463336</v>
      </c>
      <c r="E128" s="18">
        <f>D128*(1+E$130)</f>
        <v>7267.6671054754652</v>
      </c>
    </row>
    <row r="129" spans="1:12" x14ac:dyDescent="0.2">
      <c r="A129" s="5" t="s">
        <v>32</v>
      </c>
      <c r="B129" s="18">
        <f t="shared" si="39"/>
        <v>1500</v>
      </c>
      <c r="C129" s="18">
        <f>B129*(1+$C130)</f>
        <v>1654.5</v>
      </c>
      <c r="D129" s="18">
        <f>$C129*(1+D$130)</f>
        <v>1874.6067228739</v>
      </c>
      <c r="E129" s="18">
        <f>D129*(1+$E130)</f>
        <v>2180.3001316426394</v>
      </c>
    </row>
    <row r="130" spans="1:12" x14ac:dyDescent="0.2">
      <c r="A130" s="48" t="s">
        <v>59</v>
      </c>
      <c r="B130" s="20"/>
      <c r="C130" s="41">
        <f>C125+C92</f>
        <v>0.10299999999999991</v>
      </c>
      <c r="D130" s="41">
        <f t="shared" ref="D130:E130" si="40">D125+D92</f>
        <v>0.13303519061583569</v>
      </c>
      <c r="E130" s="41">
        <f t="shared" si="40"/>
        <v>0.16307068839489192</v>
      </c>
    </row>
    <row r="131" spans="1:12" x14ac:dyDescent="0.2">
      <c r="A131" s="1"/>
      <c r="B131" s="40"/>
      <c r="C131" s="1"/>
      <c r="D131" s="1"/>
      <c r="E131" s="1"/>
    </row>
    <row r="132" spans="1:12" ht="15" thickBot="1" x14ac:dyDescent="0.25">
      <c r="A132" s="16" t="s">
        <v>167</v>
      </c>
      <c r="B132" s="16"/>
      <c r="C132" s="16"/>
      <c r="D132" s="16"/>
      <c r="E132" s="16"/>
    </row>
    <row r="133" spans="1:12" x14ac:dyDescent="0.2">
      <c r="B133" s="30">
        <v>2024</v>
      </c>
      <c r="C133" s="30">
        <v>2025</v>
      </c>
      <c r="D133" s="30">
        <v>2026</v>
      </c>
      <c r="E133" s="30">
        <v>2027</v>
      </c>
    </row>
    <row r="134" spans="1:12" x14ac:dyDescent="0.2">
      <c r="A134" s="5" t="s">
        <v>68</v>
      </c>
      <c r="B134" s="18">
        <f>N35</f>
        <v>40</v>
      </c>
      <c r="C134" s="18">
        <f>B134+C99</f>
        <v>36</v>
      </c>
      <c r="D134" s="18">
        <f>C134+D99</f>
        <v>24</v>
      </c>
      <c r="E134" s="18">
        <f>D134+E99</f>
        <v>24</v>
      </c>
    </row>
    <row r="135" spans="1:12" x14ac:dyDescent="0.2">
      <c r="A135" s="5" t="s">
        <v>69</v>
      </c>
      <c r="B135" s="18">
        <f t="shared" ref="B135:B138" si="41">N36</f>
        <v>20</v>
      </c>
      <c r="C135" s="18">
        <v>20</v>
      </c>
      <c r="D135" s="18">
        <v>20</v>
      </c>
      <c r="E135" s="18">
        <v>20</v>
      </c>
      <c r="F135" s="5" t="s">
        <v>156</v>
      </c>
      <c r="L135" s="45"/>
    </row>
    <row r="136" spans="1:12" x14ac:dyDescent="0.2">
      <c r="A136" s="5" t="s">
        <v>70</v>
      </c>
      <c r="B136" s="18">
        <f t="shared" si="41"/>
        <v>155</v>
      </c>
      <c r="C136" s="18">
        <f t="shared" ref="C136:E137" si="42">B136+C100</f>
        <v>155</v>
      </c>
      <c r="D136" s="18">
        <f t="shared" si="42"/>
        <v>150</v>
      </c>
      <c r="E136" s="18">
        <f t="shared" si="42"/>
        <v>140</v>
      </c>
      <c r="G136" s="20"/>
      <c r="H136" s="20"/>
      <c r="I136" s="20"/>
      <c r="J136" s="20"/>
      <c r="K136" s="20"/>
      <c r="L136" s="20"/>
    </row>
    <row r="137" spans="1:12" x14ac:dyDescent="0.2">
      <c r="A137" s="5" t="s">
        <v>72</v>
      </c>
      <c r="B137" s="18">
        <f t="shared" si="41"/>
        <v>20</v>
      </c>
      <c r="C137" s="18">
        <f t="shared" si="42"/>
        <v>30</v>
      </c>
      <c r="D137" s="18">
        <f t="shared" si="42"/>
        <v>40</v>
      </c>
      <c r="E137" s="18">
        <f t="shared" si="42"/>
        <v>52</v>
      </c>
      <c r="H137" s="44"/>
      <c r="I137" s="44"/>
      <c r="J137" s="44"/>
      <c r="K137" s="44"/>
      <c r="L137" s="20"/>
    </row>
    <row r="138" spans="1:12" x14ac:dyDescent="0.2">
      <c r="A138" s="5" t="s">
        <v>85</v>
      </c>
      <c r="B138" s="18">
        <f t="shared" si="41"/>
        <v>7</v>
      </c>
      <c r="C138" s="18">
        <v>7</v>
      </c>
      <c r="D138" s="18">
        <v>7</v>
      </c>
      <c r="E138" s="18">
        <v>7</v>
      </c>
      <c r="F138" s="5" t="s">
        <v>155</v>
      </c>
      <c r="I138" s="31"/>
      <c r="J138" s="31"/>
      <c r="K138" s="31"/>
    </row>
    <row r="139" spans="1:12" x14ac:dyDescent="0.2">
      <c r="A139" s="48"/>
      <c r="C139" s="1"/>
      <c r="D139" s="1"/>
      <c r="E139" s="1"/>
    </row>
    <row r="140" spans="1:12" x14ac:dyDescent="0.2">
      <c r="A140" s="5" t="s">
        <v>90</v>
      </c>
      <c r="B140" s="71">
        <f>B103</f>
        <v>53750</v>
      </c>
      <c r="C140" s="71">
        <f t="shared" ref="C140:E140" si="43">C103</f>
        <v>53750</v>
      </c>
      <c r="D140" s="71">
        <f t="shared" si="43"/>
        <v>56000</v>
      </c>
      <c r="E140" s="71">
        <f t="shared" si="43"/>
        <v>60000</v>
      </c>
    </row>
    <row r="141" spans="1:12" x14ac:dyDescent="0.2">
      <c r="A141" s="5" t="s">
        <v>94</v>
      </c>
      <c r="B141" s="71">
        <f>N42</f>
        <v>135000</v>
      </c>
      <c r="C141" s="71">
        <v>135000</v>
      </c>
      <c r="D141" s="71">
        <v>135000</v>
      </c>
      <c r="E141" s="71">
        <v>135000</v>
      </c>
      <c r="F141" s="5" t="s">
        <v>158</v>
      </c>
    </row>
    <row r="142" spans="1:12" x14ac:dyDescent="0.2">
      <c r="A142" s="5" t="s">
        <v>91</v>
      </c>
      <c r="B142" s="71">
        <f>B105</f>
        <v>108625</v>
      </c>
      <c r="C142" s="71">
        <f>C105</f>
        <v>108625</v>
      </c>
      <c r="D142" s="71">
        <f>D105</f>
        <v>110000</v>
      </c>
      <c r="E142" s="71">
        <f>E105</f>
        <v>115000</v>
      </c>
    </row>
    <row r="143" spans="1:12" x14ac:dyDescent="0.2">
      <c r="A143" s="5" t="s">
        <v>92</v>
      </c>
      <c r="B143" s="71">
        <f>B104</f>
        <v>52979.354838709674</v>
      </c>
      <c r="C143" s="71">
        <f t="shared" ref="C143:E143" si="44">C104</f>
        <v>52979.354838709674</v>
      </c>
      <c r="D143" s="71">
        <f t="shared" si="44"/>
        <v>55000</v>
      </c>
      <c r="E143" s="71">
        <f t="shared" si="44"/>
        <v>59000</v>
      </c>
      <c r="G143" s="15"/>
    </row>
    <row r="144" spans="1:12" x14ac:dyDescent="0.2">
      <c r="A144" s="5" t="s">
        <v>93</v>
      </c>
      <c r="B144" s="71">
        <f>N45</f>
        <v>37242.857142857145</v>
      </c>
      <c r="C144" s="71">
        <v>37242.857142857145</v>
      </c>
      <c r="D144" s="71">
        <v>37242.857142857145</v>
      </c>
      <c r="E144" s="71">
        <v>37242.857142857145</v>
      </c>
      <c r="F144" s="5" t="s">
        <v>159</v>
      </c>
    </row>
    <row r="145" spans="1:13" x14ac:dyDescent="0.2">
      <c r="A145" s="1"/>
      <c r="B145" s="1"/>
      <c r="C145" s="54"/>
      <c r="D145" s="54"/>
      <c r="E145" s="54"/>
    </row>
    <row r="146" spans="1:13" x14ac:dyDescent="0.2">
      <c r="A146" s="1"/>
      <c r="B146" s="1"/>
      <c r="C146" s="54"/>
      <c r="D146" s="54"/>
      <c r="E146" s="54"/>
    </row>
    <row r="147" spans="1:13" x14ac:dyDescent="0.2">
      <c r="A147" s="1"/>
      <c r="B147" s="1"/>
      <c r="C147" s="54"/>
      <c r="D147" s="54"/>
      <c r="E147" s="54"/>
    </row>
    <row r="148" spans="1:13" ht="15" thickBot="1" x14ac:dyDescent="0.25">
      <c r="A148" s="16" t="s">
        <v>166</v>
      </c>
      <c r="B148" s="16"/>
      <c r="C148" s="16"/>
      <c r="D148" s="16"/>
      <c r="E148" s="16"/>
    </row>
    <row r="149" spans="1:13" x14ac:dyDescent="0.2">
      <c r="A149" s="1"/>
      <c r="B149" s="30">
        <v>2024</v>
      </c>
      <c r="C149" s="30">
        <v>2025</v>
      </c>
      <c r="D149" s="30">
        <v>2026</v>
      </c>
      <c r="E149" s="30">
        <v>2027</v>
      </c>
    </row>
    <row r="150" spans="1:13" x14ac:dyDescent="0.2">
      <c r="A150" s="1" t="s">
        <v>0</v>
      </c>
      <c r="B150" s="18"/>
      <c r="C150" s="18"/>
      <c r="D150" s="18"/>
      <c r="E150" s="18"/>
      <c r="F150" s="5" t="s">
        <v>163</v>
      </c>
    </row>
    <row r="151" spans="1:13" x14ac:dyDescent="0.2">
      <c r="A151" s="5" t="s">
        <v>24</v>
      </c>
      <c r="B151" s="67">
        <f>B120*'Input Data'!$J$48</f>
        <v>13300000</v>
      </c>
      <c r="C151" s="67">
        <f>C120*'Input Data'!$J$48</f>
        <v>14004900</v>
      </c>
      <c r="D151" s="67">
        <f>D120*'Input Data'!$J$48</f>
        <v>14817677.041055717</v>
      </c>
      <c r="E151" s="67">
        <f>E120*'Input Data'!$J$48</f>
        <v>15752238.132448286</v>
      </c>
    </row>
    <row r="152" spans="1:13" x14ac:dyDescent="0.2">
      <c r="A152" s="5" t="s">
        <v>16</v>
      </c>
      <c r="B152" s="67">
        <f>B121*'Input Data'!$J$49</f>
        <v>5699999.9999999991</v>
      </c>
      <c r="C152" s="67">
        <f>C121*'Input Data'!$J$49</f>
        <v>6002099.9999999991</v>
      </c>
      <c r="D152" s="67">
        <f>D121*'Input Data'!$J$49</f>
        <v>6350433.017595306</v>
      </c>
      <c r="E152" s="67">
        <f>E121*'Input Data'!$J$49</f>
        <v>6750959.199620693</v>
      </c>
    </row>
    <row r="153" spans="1:13" x14ac:dyDescent="0.2">
      <c r="A153" s="5" t="s">
        <v>17</v>
      </c>
      <c r="B153" s="67">
        <f>B122*'Input Data'!$J$50</f>
        <v>4151950.0000000005</v>
      </c>
      <c r="C153" s="67">
        <f>C122*'Input Data'!$J$50</f>
        <v>4372003.3500000006</v>
      </c>
      <c r="D153" s="67">
        <f>D122*'Input Data'!$J$50</f>
        <v>4625733.3977903221</v>
      </c>
      <c r="E153" s="67">
        <f>E122*'Input Data'!$J$50</f>
        <v>4917481.5875201998</v>
      </c>
    </row>
    <row r="154" spans="1:13" x14ac:dyDescent="0.2">
      <c r="A154" s="5" t="s">
        <v>26</v>
      </c>
      <c r="B154" s="67">
        <f>B123*'Input Data'!$J$51</f>
        <v>21020000</v>
      </c>
      <c r="C154" s="67">
        <f>C123*'Input Data'!$J$51</f>
        <v>22134060</v>
      </c>
      <c r="D154" s="67">
        <f>D123*'Input Data'!$J$51</f>
        <v>23418614.391202342</v>
      </c>
      <c r="E154" s="67">
        <f>E123*'Input Data'!$J$51</f>
        <v>24895642.52211</v>
      </c>
      <c r="G154" s="1" t="s">
        <v>0</v>
      </c>
      <c r="H154" s="18"/>
      <c r="I154" s="18"/>
      <c r="J154" s="18"/>
      <c r="K154" s="18"/>
      <c r="L154" s="5" t="s">
        <v>177</v>
      </c>
    </row>
    <row r="155" spans="1:13" x14ac:dyDescent="0.2">
      <c r="A155" s="5" t="s">
        <v>30</v>
      </c>
      <c r="B155" s="67">
        <f>B124*'Input Data'!$G$21</f>
        <v>127500</v>
      </c>
      <c r="C155" s="67">
        <f>C124*'Input Data'!$G$21</f>
        <v>134257.5</v>
      </c>
      <c r="D155" s="67">
        <f>D124*'Input Data'!$G$21</f>
        <v>142049.15960410555</v>
      </c>
      <c r="E155" s="67">
        <f>E124*'Input Data'!$G$21</f>
        <v>151008.29788625235</v>
      </c>
      <c r="G155" s="5" t="s">
        <v>24</v>
      </c>
      <c r="H155" s="67">
        <f>B151-N50</f>
        <v>0</v>
      </c>
      <c r="I155" s="67">
        <f>C151-O50</f>
        <v>401400</v>
      </c>
      <c r="J155" s="67">
        <f t="shared" ref="I155:K162" si="45">D151-P50</f>
        <v>903294.54105571657</v>
      </c>
      <c r="K155" s="67">
        <f t="shared" si="45"/>
        <v>1519397.0449482873</v>
      </c>
      <c r="L155" s="71">
        <f>SUM(I155:K155)</f>
        <v>2824091.5860040039</v>
      </c>
      <c r="M155" s="71">
        <f>SUM(L155:L162)</f>
        <v>9986869.195093751</v>
      </c>
    </row>
    <row r="156" spans="1:13" x14ac:dyDescent="0.2">
      <c r="A156" s="5" t="s">
        <v>29</v>
      </c>
      <c r="B156" s="67">
        <f>B127*'Input Data'!G$20</f>
        <v>660000</v>
      </c>
      <c r="C156" s="67">
        <f>C127*'Input Data'!$G$20</f>
        <v>727980</v>
      </c>
      <c r="D156" s="67">
        <f>D127*'Input Data'!$G$20</f>
        <v>824826.95806451596</v>
      </c>
      <c r="E156" s="67">
        <f>E127*'Input Data'!$G$20</f>
        <v>959332.05792276131</v>
      </c>
      <c r="G156" s="5" t="s">
        <v>16</v>
      </c>
      <c r="H156" s="67">
        <f t="shared" ref="H156:H162" si="46">B152-N51</f>
        <v>0</v>
      </c>
      <c r="I156" s="67">
        <f t="shared" si="45"/>
        <v>170099.99999999907</v>
      </c>
      <c r="J156" s="67">
        <f t="shared" si="45"/>
        <v>383163.01759530604</v>
      </c>
      <c r="K156" s="67">
        <f t="shared" si="45"/>
        <v>645061.74962069187</v>
      </c>
      <c r="L156" s="71">
        <f t="shared" ref="L156:L176" si="47">SUM(I156:K156)</f>
        <v>1198324.767215997</v>
      </c>
      <c r="M156" s="5">
        <v>9986869.195093751</v>
      </c>
    </row>
    <row r="157" spans="1:13" x14ac:dyDescent="0.2">
      <c r="A157" s="5" t="s">
        <v>31</v>
      </c>
      <c r="B157" s="67">
        <f>B128*'Input Data'!$G$22</f>
        <v>150000</v>
      </c>
      <c r="C157" s="67">
        <f>C128*'Input Data'!$G$22</f>
        <v>165450</v>
      </c>
      <c r="D157" s="67">
        <f>D128*'Input Data'!$G$22</f>
        <v>187460.67228739001</v>
      </c>
      <c r="E157" s="67">
        <f>E128*'Input Data'!$G$22</f>
        <v>218030.01316426395</v>
      </c>
      <c r="G157" s="5" t="s">
        <v>17</v>
      </c>
      <c r="H157" s="67">
        <f t="shared" si="46"/>
        <v>0</v>
      </c>
      <c r="I157" s="67">
        <f t="shared" si="45"/>
        <v>122734.35000000056</v>
      </c>
      <c r="J157" s="67">
        <f t="shared" si="45"/>
        <v>276699.21779032238</v>
      </c>
      <c r="K157" s="67">
        <f t="shared" si="45"/>
        <v>466169.63092019968</v>
      </c>
      <c r="L157" s="71">
        <f t="shared" si="47"/>
        <v>865603.19871052261</v>
      </c>
    </row>
    <row r="158" spans="1:13" x14ac:dyDescent="0.2">
      <c r="A158" s="5" t="s">
        <v>32</v>
      </c>
      <c r="B158" s="67">
        <f>B129*'Input Data'!$G$23</f>
        <v>825000</v>
      </c>
      <c r="C158" s="67">
        <f>C129*'Input Data'!$G$23</f>
        <v>909975</v>
      </c>
      <c r="D158" s="67">
        <f>D129*'Input Data'!$G$23</f>
        <v>1031033.697580645</v>
      </c>
      <c r="E158" s="67">
        <f>E129*'Input Data'!$G$23</f>
        <v>1199165.0724034517</v>
      </c>
      <c r="G158" s="5" t="s">
        <v>26</v>
      </c>
      <c r="H158" s="67">
        <f t="shared" si="46"/>
        <v>0</v>
      </c>
      <c r="I158" s="67">
        <f t="shared" si="45"/>
        <v>603360</v>
      </c>
      <c r="J158" s="67">
        <f t="shared" si="45"/>
        <v>1363839.8912023418</v>
      </c>
      <c r="K158" s="67">
        <f t="shared" si="45"/>
        <v>2303040.9146099985</v>
      </c>
      <c r="L158" s="71">
        <f t="shared" si="47"/>
        <v>4270240.8058123402</v>
      </c>
    </row>
    <row r="159" spans="1:13" x14ac:dyDescent="0.2">
      <c r="A159" s="5" t="s">
        <v>153</v>
      </c>
      <c r="B159" s="67">
        <f>B93*B94</f>
        <v>0</v>
      </c>
      <c r="C159" s="67">
        <f>C93*C94</f>
        <v>0</v>
      </c>
      <c r="D159" s="67">
        <f>D93*D94</f>
        <v>900000</v>
      </c>
      <c r="E159" s="67">
        <f>E93*E94</f>
        <v>3600000</v>
      </c>
      <c r="G159" s="5" t="s">
        <v>30</v>
      </c>
      <c r="H159" s="67">
        <f t="shared" si="46"/>
        <v>0</v>
      </c>
      <c r="I159" s="67">
        <f t="shared" si="45"/>
        <v>2295.0000000000291</v>
      </c>
      <c r="J159" s="67">
        <f t="shared" si="45"/>
        <v>5467.9721041055745</v>
      </c>
      <c r="K159" s="67">
        <f t="shared" si="45"/>
        <v>9646.7688237523835</v>
      </c>
      <c r="L159" s="71">
        <f t="shared" si="47"/>
        <v>17409.740927857987</v>
      </c>
    </row>
    <row r="160" spans="1:13" x14ac:dyDescent="0.2">
      <c r="A160" s="58" t="s">
        <v>19</v>
      </c>
      <c r="B160" s="68">
        <f>SUM(B150:B159)</f>
        <v>45934450</v>
      </c>
      <c r="C160" s="68">
        <f t="shared" ref="C160:E160" si="48">SUM(C150:C159)</f>
        <v>48450725.850000001</v>
      </c>
      <c r="D160" s="68">
        <f t="shared" si="48"/>
        <v>52297828.335180342</v>
      </c>
      <c r="E160" s="68">
        <f t="shared" si="48"/>
        <v>58443856.883075908</v>
      </c>
      <c r="G160" s="5" t="s">
        <v>29</v>
      </c>
      <c r="H160" s="67">
        <f t="shared" si="46"/>
        <v>0</v>
      </c>
      <c r="I160" s="67">
        <f t="shared" si="45"/>
        <v>34980</v>
      </c>
      <c r="J160" s="67">
        <f t="shared" si="45"/>
        <v>97176.958064515959</v>
      </c>
      <c r="K160" s="67">
        <f t="shared" si="45"/>
        <v>195299.55792276131</v>
      </c>
      <c r="L160" s="71">
        <f t="shared" si="47"/>
        <v>327456.51598727726</v>
      </c>
    </row>
    <row r="161" spans="1:12" x14ac:dyDescent="0.2">
      <c r="A161" s="1" t="s">
        <v>8</v>
      </c>
      <c r="B161" s="67"/>
      <c r="C161" s="67"/>
      <c r="D161" s="67"/>
      <c r="E161" s="67"/>
      <c r="G161" s="5" t="s">
        <v>31</v>
      </c>
      <c r="H161" s="67">
        <f t="shared" si="46"/>
        <v>0</v>
      </c>
      <c r="I161" s="67">
        <f t="shared" si="45"/>
        <v>7950</v>
      </c>
      <c r="J161" s="67">
        <f t="shared" si="45"/>
        <v>22085.672287390014</v>
      </c>
      <c r="K161" s="67">
        <f t="shared" si="45"/>
        <v>44386.263164263946</v>
      </c>
      <c r="L161" s="71">
        <f t="shared" si="47"/>
        <v>74421.935451653961</v>
      </c>
    </row>
    <row r="162" spans="1:12" x14ac:dyDescent="0.2">
      <c r="A162" s="5" t="s">
        <v>35</v>
      </c>
      <c r="B162" s="67">
        <f>B135*B141+B136*B143+B137*B142+B138*B144</f>
        <v>13345000</v>
      </c>
      <c r="C162" s="67">
        <f>C135*C141+C136*C143+C137*C142+C138*C144</f>
        <v>14431250</v>
      </c>
      <c r="D162" s="67">
        <f>D135*D141+D136*D143+D137*D142+D138*D144</f>
        <v>15610700</v>
      </c>
      <c r="E162" s="67">
        <f>E135*E141+E136*E143+E137*E142+E138*E144</f>
        <v>17200700</v>
      </c>
      <c r="G162" s="5" t="s">
        <v>32</v>
      </c>
      <c r="H162" s="67">
        <f t="shared" si="46"/>
        <v>0</v>
      </c>
      <c r="I162" s="67">
        <f t="shared" si="45"/>
        <v>43725</v>
      </c>
      <c r="J162" s="67">
        <f t="shared" si="45"/>
        <v>121471.19758064498</v>
      </c>
      <c r="K162" s="67">
        <f t="shared" si="45"/>
        <v>244124.44740345166</v>
      </c>
      <c r="L162" s="71">
        <f t="shared" si="47"/>
        <v>409320.64498409664</v>
      </c>
    </row>
    <row r="163" spans="1:12" x14ac:dyDescent="0.2">
      <c r="A163" s="5" t="s">
        <v>36</v>
      </c>
      <c r="B163" s="67">
        <f>B108*SUM(B134:B138)</f>
        <v>325000</v>
      </c>
      <c r="C163" s="67">
        <f>C108*SUM(C134:C138)</f>
        <v>347200</v>
      </c>
      <c r="D163" s="67">
        <f t="shared" ref="D163:E163" si="49">D108*SUM(D134:D138)</f>
        <v>361500</v>
      </c>
      <c r="E163" s="67">
        <f t="shared" si="49"/>
        <v>394480.51948051952</v>
      </c>
      <c r="G163" s="5" t="s">
        <v>153</v>
      </c>
      <c r="H163" s="67">
        <f>B159</f>
        <v>0</v>
      </c>
      <c r="I163" s="67">
        <f t="shared" ref="I163:K163" si="50">C159</f>
        <v>0</v>
      </c>
      <c r="J163" s="67">
        <f t="shared" si="50"/>
        <v>900000</v>
      </c>
      <c r="K163" s="67">
        <f t="shared" si="50"/>
        <v>3600000</v>
      </c>
      <c r="L163" s="71">
        <f t="shared" si="47"/>
        <v>4500000</v>
      </c>
    </row>
    <row r="164" spans="1:12" x14ac:dyDescent="0.2">
      <c r="A164" s="5" t="s">
        <v>64</v>
      </c>
      <c r="B164" s="67">
        <f>B134*B140</f>
        <v>2150000</v>
      </c>
      <c r="C164" s="67">
        <f t="shared" ref="C164:E164" si="51">C134*C140</f>
        <v>1935000</v>
      </c>
      <c r="D164" s="67">
        <f t="shared" si="51"/>
        <v>1344000</v>
      </c>
      <c r="E164" s="67">
        <f t="shared" si="51"/>
        <v>1440000</v>
      </c>
      <c r="G164" s="58" t="s">
        <v>19</v>
      </c>
      <c r="H164" s="68">
        <f>SUM(H154:H163)</f>
        <v>0</v>
      </c>
      <c r="I164" s="68">
        <f t="shared" ref="I164:K164" si="52">SUM(I154:I163)</f>
        <v>1386544.3499999996</v>
      </c>
      <c r="J164" s="68">
        <f t="shared" si="52"/>
        <v>4073198.4676803434</v>
      </c>
      <c r="K164" s="68">
        <f t="shared" si="52"/>
        <v>9027126.377413407</v>
      </c>
      <c r="L164" s="71">
        <f t="shared" si="47"/>
        <v>14486869.195093751</v>
      </c>
    </row>
    <row r="165" spans="1:12" x14ac:dyDescent="0.2">
      <c r="A165" s="5" t="s">
        <v>45</v>
      </c>
      <c r="B165" s="67"/>
      <c r="C165" s="67"/>
      <c r="D165" s="67"/>
      <c r="E165" s="67"/>
      <c r="G165" s="1" t="s">
        <v>8</v>
      </c>
      <c r="H165" s="67"/>
      <c r="I165" s="67"/>
      <c r="J165" s="67"/>
      <c r="K165" s="67"/>
      <c r="L165" s="71"/>
    </row>
    <row r="166" spans="1:12" x14ac:dyDescent="0.2">
      <c r="A166" s="48" t="s">
        <v>42</v>
      </c>
      <c r="B166" s="67">
        <f>B62</f>
        <v>10400000</v>
      </c>
      <c r="C166" s="67">
        <f>B166-(C101*('Input Data'!$F$49+'Input Data'!$F$51)*'Input Data'!$B$50)</f>
        <v>8740407.8766795397</v>
      </c>
      <c r="D166" s="67">
        <f>C166-(D101*('Input Data'!$F$49+'Input Data'!$F$51)*'Input Data'!$B$50)</f>
        <v>7080815.7533590784</v>
      </c>
      <c r="E166" s="67">
        <f>D166-(E101*('Input Data'!$F$49+'Input Data'!$F$51)*'Input Data'!$B$50)</f>
        <v>5089305.2053745259</v>
      </c>
      <c r="G166" s="5" t="s">
        <v>35</v>
      </c>
      <c r="H166" s="67">
        <f>B162-N60</f>
        <v>0</v>
      </c>
      <c r="I166" s="67">
        <f t="shared" ref="I166:K168" si="53">C162-O60</f>
        <v>750264.5</v>
      </c>
      <c r="J166" s="67">
        <f t="shared" si="53"/>
        <v>1584473.9824999999</v>
      </c>
      <c r="K166" s="67">
        <f t="shared" si="53"/>
        <v>2819698.7456375007</v>
      </c>
      <c r="L166" s="71">
        <f t="shared" si="47"/>
        <v>5154437.2281375006</v>
      </c>
    </row>
    <row r="167" spans="1:12" x14ac:dyDescent="0.2">
      <c r="A167" s="48" t="s">
        <v>43</v>
      </c>
      <c r="B167" s="67">
        <f>B63*(1+B95)</f>
        <v>325000</v>
      </c>
      <c r="C167" s="67">
        <f>C63*(1+C95)</f>
        <v>227500</v>
      </c>
      <c r="D167" s="67">
        <f>D63*(1+D95)</f>
        <v>97500.000000000015</v>
      </c>
      <c r="E167" s="67">
        <f>E63*(1+E95)</f>
        <v>0</v>
      </c>
      <c r="G167" s="5" t="s">
        <v>36</v>
      </c>
      <c r="H167" s="67">
        <f t="shared" ref="H167:H168" si="54">B163-N61</f>
        <v>0</v>
      </c>
      <c r="I167" s="67">
        <f t="shared" si="53"/>
        <v>22200</v>
      </c>
      <c r="J167" s="67">
        <f t="shared" si="53"/>
        <v>36500</v>
      </c>
      <c r="K167" s="67">
        <f t="shared" si="53"/>
        <v>69480.519480519521</v>
      </c>
      <c r="L167" s="71">
        <f t="shared" si="47"/>
        <v>128180.51948051952</v>
      </c>
    </row>
    <row r="168" spans="1:12" x14ac:dyDescent="0.2">
      <c r="A168" s="48" t="s">
        <v>44</v>
      </c>
      <c r="B168" s="67">
        <f>B64+H65</f>
        <v>4140175</v>
      </c>
      <c r="C168" s="67">
        <f t="shared" ref="C168:E168" si="55">C64+I65</f>
        <v>4140175</v>
      </c>
      <c r="D168" s="67">
        <f t="shared" si="55"/>
        <v>4140175</v>
      </c>
      <c r="E168" s="67">
        <f t="shared" si="55"/>
        <v>4140175</v>
      </c>
      <c r="G168" s="5" t="s">
        <v>64</v>
      </c>
      <c r="H168" s="67">
        <f t="shared" si="54"/>
        <v>0</v>
      </c>
      <c r="I168" s="67">
        <f t="shared" si="53"/>
        <v>-215000</v>
      </c>
      <c r="J168" s="67">
        <f t="shared" si="53"/>
        <v>-806000</v>
      </c>
      <c r="K168" s="67">
        <f t="shared" si="53"/>
        <v>-710000</v>
      </c>
      <c r="L168" s="71">
        <f t="shared" si="47"/>
        <v>-1731000</v>
      </c>
    </row>
    <row r="169" spans="1:12" x14ac:dyDescent="0.2">
      <c r="A169" s="5" t="s">
        <v>38</v>
      </c>
      <c r="B169" s="67">
        <f>B96*SUM(B120:B124,B127:B129)</f>
        <v>7860000</v>
      </c>
      <c r="C169" s="67">
        <f>C96*SUM(C120:C124,C127:C129)</f>
        <v>7379872.4669999992</v>
      </c>
      <c r="D169" s="67">
        <f>D96*SUM(D120:D124,D127:D129)</f>
        <v>6891708.3700134605</v>
      </c>
      <c r="E169" s="67">
        <f t="shared" ref="E169" si="56">E96*SUM(E120:E124,E127:E129)</f>
        <v>6354893.2387326136</v>
      </c>
      <c r="G169" s="5" t="s">
        <v>45</v>
      </c>
      <c r="H169" s="67"/>
      <c r="I169" s="67"/>
      <c r="J169" s="67"/>
      <c r="K169" s="67"/>
      <c r="L169" s="71">
        <f t="shared" si="47"/>
        <v>0</v>
      </c>
    </row>
    <row r="170" spans="1:12" x14ac:dyDescent="0.2">
      <c r="A170" s="5" t="s">
        <v>39</v>
      </c>
      <c r="B170" s="67">
        <f>N65</f>
        <v>1100000</v>
      </c>
      <c r="C170" s="67">
        <f t="shared" ref="C170:E170" si="57">O65</f>
        <v>1100000</v>
      </c>
      <c r="D170" s="67">
        <f t="shared" si="57"/>
        <v>1100000</v>
      </c>
      <c r="E170" s="67">
        <f t="shared" si="57"/>
        <v>1100000</v>
      </c>
      <c r="G170" s="48" t="s">
        <v>42</v>
      </c>
      <c r="H170" s="67">
        <f>B166-B62</f>
        <v>0</v>
      </c>
      <c r="I170" s="67">
        <f t="shared" ref="I170:K170" si="58">C166-C62</f>
        <v>-1867592.1233204603</v>
      </c>
      <c r="J170" s="67">
        <f t="shared" si="58"/>
        <v>-3739344.2466409216</v>
      </c>
      <c r="K170" s="67">
        <f t="shared" si="58"/>
        <v>-5947257.9946254753</v>
      </c>
      <c r="L170" s="71">
        <f t="shared" si="47"/>
        <v>-11554194.364586856</v>
      </c>
    </row>
    <row r="171" spans="1:12" x14ac:dyDescent="0.2">
      <c r="A171" s="5" t="s">
        <v>40</v>
      </c>
      <c r="B171" s="67">
        <f>B97+H68+B107</f>
        <v>2300000</v>
      </c>
      <c r="C171" s="67">
        <f t="shared" ref="C171" si="59">C97+I68+C107</f>
        <v>3000000</v>
      </c>
      <c r="D171" s="67">
        <f>D97+J68+D107</f>
        <v>4000000</v>
      </c>
      <c r="E171" s="67">
        <f>E97+K68+E107</f>
        <v>4560000</v>
      </c>
      <c r="G171" s="48" t="s">
        <v>43</v>
      </c>
      <c r="H171" s="67">
        <f>B167-B63</f>
        <v>0</v>
      </c>
      <c r="I171" s="67">
        <f t="shared" ref="I171" si="60">C167-C63</f>
        <v>-97500</v>
      </c>
      <c r="J171" s="67">
        <f t="shared" ref="J171" si="61">D167-D63</f>
        <v>-227500</v>
      </c>
      <c r="K171" s="67">
        <f t="shared" ref="K171" si="62">E167-E63</f>
        <v>-325000</v>
      </c>
      <c r="L171" s="71">
        <f t="shared" si="47"/>
        <v>-650000</v>
      </c>
    </row>
    <row r="172" spans="1:12" x14ac:dyDescent="0.2">
      <c r="A172" s="5" t="s">
        <v>145</v>
      </c>
      <c r="B172" s="67">
        <f>B109*'Input Data'!$B$49</f>
        <v>0</v>
      </c>
      <c r="C172" s="67">
        <f>C109*'Input Data'!$B$49</f>
        <v>450000</v>
      </c>
      <c r="D172" s="67">
        <f>D109*'Input Data'!$B$49</f>
        <v>540000</v>
      </c>
      <c r="E172" s="67">
        <f>E109*'Input Data'!$B$49</f>
        <v>630000</v>
      </c>
      <c r="G172" s="48" t="s">
        <v>44</v>
      </c>
      <c r="H172" s="67">
        <f>B168-(B64+H65)</f>
        <v>0</v>
      </c>
      <c r="I172" s="67">
        <f t="shared" ref="I172:K172" si="63">C168-(C64+I65)</f>
        <v>0</v>
      </c>
      <c r="J172" s="67">
        <f t="shared" si="63"/>
        <v>0</v>
      </c>
      <c r="K172" s="67">
        <f t="shared" si="63"/>
        <v>0</v>
      </c>
      <c r="L172" s="71">
        <f t="shared" si="47"/>
        <v>0</v>
      </c>
    </row>
    <row r="173" spans="1:12" x14ac:dyDescent="0.2">
      <c r="A173" s="58" t="s">
        <v>19</v>
      </c>
      <c r="B173" s="56">
        <f>SUM(B162:B172)</f>
        <v>41945175</v>
      </c>
      <c r="C173" s="56">
        <f t="shared" ref="C173:E173" si="64">SUM(C162:C172)</f>
        <v>41751405.34367954</v>
      </c>
      <c r="D173" s="56">
        <f t="shared" si="64"/>
        <v>41166399.12337254</v>
      </c>
      <c r="E173" s="56">
        <f t="shared" si="64"/>
        <v>40909553.963587657</v>
      </c>
      <c r="G173" s="5" t="s">
        <v>38</v>
      </c>
      <c r="H173" s="67">
        <f>B169-N64</f>
        <v>0</v>
      </c>
      <c r="I173" s="67">
        <f t="shared" ref="I173:K175" si="65">C169-O64</f>
        <v>-674827.53300000075</v>
      </c>
      <c r="J173" s="67">
        <f t="shared" si="65"/>
        <v>-1362898.1299865395</v>
      </c>
      <c r="K173" s="67">
        <f t="shared" si="65"/>
        <v>-2104976.3287673853</v>
      </c>
      <c r="L173" s="71">
        <f t="shared" si="47"/>
        <v>-4142701.9917539256</v>
      </c>
    </row>
    <row r="174" spans="1:12" x14ac:dyDescent="0.2">
      <c r="A174" s="35"/>
      <c r="B174" s="57"/>
      <c r="C174" s="57"/>
      <c r="D174" s="57"/>
      <c r="E174" s="57"/>
      <c r="G174" s="5" t="s">
        <v>39</v>
      </c>
      <c r="H174" s="67">
        <f t="shared" ref="H174:H175" si="66">B170-N65</f>
        <v>0</v>
      </c>
      <c r="I174" s="67">
        <f t="shared" si="65"/>
        <v>0</v>
      </c>
      <c r="J174" s="67">
        <f t="shared" si="65"/>
        <v>0</v>
      </c>
      <c r="K174" s="67">
        <f t="shared" si="65"/>
        <v>0</v>
      </c>
      <c r="L174" s="71">
        <f t="shared" si="47"/>
        <v>0</v>
      </c>
    </row>
    <row r="175" spans="1:12" x14ac:dyDescent="0.2">
      <c r="A175" s="1" t="s">
        <v>1</v>
      </c>
      <c r="B175" s="46">
        <f>B160-B173</f>
        <v>3989275</v>
      </c>
      <c r="C175" s="46">
        <f>C160-C173</f>
        <v>6699320.5063204616</v>
      </c>
      <c r="D175" s="46">
        <f>D160-D173</f>
        <v>11131429.211807802</v>
      </c>
      <c r="E175" s="46">
        <f>E160-E173</f>
        <v>17534302.919488251</v>
      </c>
      <c r="G175" s="5" t="s">
        <v>40</v>
      </c>
      <c r="H175" s="67">
        <f t="shared" si="66"/>
        <v>0</v>
      </c>
      <c r="I175" s="67">
        <f t="shared" si="65"/>
        <v>700000</v>
      </c>
      <c r="J175" s="67">
        <f t="shared" si="65"/>
        <v>1700000</v>
      </c>
      <c r="K175" s="67">
        <f t="shared" si="65"/>
        <v>2260000</v>
      </c>
      <c r="L175" s="71">
        <f t="shared" si="47"/>
        <v>4660000</v>
      </c>
    </row>
    <row r="176" spans="1:12" x14ac:dyDescent="0.2">
      <c r="A176" s="34" t="s">
        <v>2</v>
      </c>
      <c r="B176" s="36">
        <f>B175/B160</f>
        <v>8.6847126720794518E-2</v>
      </c>
      <c r="C176" s="36">
        <f>C175/C160</f>
        <v>0.13827079757403596</v>
      </c>
      <c r="D176" s="36">
        <f>D175/D160</f>
        <v>0.21284687273180283</v>
      </c>
      <c r="E176" s="36">
        <f>E175/E160</f>
        <v>0.30001960607370198</v>
      </c>
      <c r="G176" s="5" t="s">
        <v>145</v>
      </c>
      <c r="H176" s="67">
        <f>B172</f>
        <v>0</v>
      </c>
      <c r="I176" s="67">
        <f t="shared" ref="I176:K176" si="67">C172</f>
        <v>450000</v>
      </c>
      <c r="J176" s="67">
        <f t="shared" si="67"/>
        <v>540000</v>
      </c>
      <c r="K176" s="67">
        <f t="shared" si="67"/>
        <v>630000</v>
      </c>
      <c r="L176" s="71">
        <f t="shared" si="47"/>
        <v>1620000</v>
      </c>
    </row>
    <row r="177" spans="1:12" x14ac:dyDescent="0.2">
      <c r="A177" s="35"/>
      <c r="B177" s="54"/>
      <c r="C177" s="54"/>
      <c r="D177" s="54"/>
      <c r="E177" s="54"/>
      <c r="G177" s="58" t="s">
        <v>19</v>
      </c>
      <c r="H177" s="56">
        <f>SUM(H166:H176)</f>
        <v>0</v>
      </c>
      <c r="I177" s="56">
        <f t="shared" ref="I177:K177" si="68">SUM(I166:I176)</f>
        <v>-932455.15632046107</v>
      </c>
      <c r="J177" s="56">
        <f t="shared" si="68"/>
        <v>-2274768.3941274611</v>
      </c>
      <c r="K177" s="56">
        <f t="shared" si="68"/>
        <v>-3308055.0582748409</v>
      </c>
      <c r="L177" s="71">
        <f>SUM(I177:K177)</f>
        <v>-6515278.6087227631</v>
      </c>
    </row>
    <row r="178" spans="1:12" x14ac:dyDescent="0.2">
      <c r="A178" s="30" t="s">
        <v>5</v>
      </c>
      <c r="B178" s="30">
        <v>2024</v>
      </c>
      <c r="C178" s="30">
        <v>2025</v>
      </c>
      <c r="D178" s="30">
        <v>2026</v>
      </c>
      <c r="E178" s="30">
        <v>2027</v>
      </c>
    </row>
    <row r="179" spans="1:12" x14ac:dyDescent="0.2">
      <c r="A179" s="5" t="s">
        <v>98</v>
      </c>
      <c r="B179" s="39">
        <f>B162/(B160)</f>
        <v>0.29052269048611662</v>
      </c>
      <c r="C179" s="39">
        <f t="shared" ref="C179:E179" si="69">C162/(C160)</f>
        <v>0.29785415485163469</v>
      </c>
      <c r="D179" s="39">
        <f t="shared" si="69"/>
        <v>0.29849614213328252</v>
      </c>
      <c r="E179" s="39">
        <f t="shared" si="69"/>
        <v>0.29431151394426458</v>
      </c>
    </row>
    <row r="180" spans="1:12" x14ac:dyDescent="0.2">
      <c r="A180" t="s">
        <v>100</v>
      </c>
      <c r="B180" s="39">
        <f>B169/B160</f>
        <v>0.17111340181497764</v>
      </c>
      <c r="C180" s="39">
        <f t="shared" ref="C180:E180" si="70">C169/C160</f>
        <v>0.1523170672374973</v>
      </c>
      <c r="D180" s="39">
        <f t="shared" si="70"/>
        <v>0.13177809842970978</v>
      </c>
      <c r="E180" s="39">
        <f t="shared" si="70"/>
        <v>0.10873500788023548</v>
      </c>
    </row>
    <row r="181" spans="1:12" x14ac:dyDescent="0.2">
      <c r="A181" s="5" t="s">
        <v>14</v>
      </c>
      <c r="B181" s="39">
        <f>B164/B160</f>
        <v>4.6805828740738159E-2</v>
      </c>
      <c r="C181" s="39">
        <f t="shared" ref="C181:E181" si="71">C164/C160</f>
        <v>3.9937482174996146E-2</v>
      </c>
      <c r="D181" s="39">
        <f t="shared" si="71"/>
        <v>2.569896385345511E-2</v>
      </c>
      <c r="E181" s="39">
        <f t="shared" si="71"/>
        <v>2.4639030974305757E-2</v>
      </c>
    </row>
    <row r="182" spans="1:12" x14ac:dyDescent="0.2">
      <c r="A182" t="s">
        <v>99</v>
      </c>
      <c r="B182" s="39">
        <f>B166/B160</f>
        <v>0.22640959018775669</v>
      </c>
      <c r="C182" s="39">
        <f t="shared" ref="C182:E182" si="72">C166/C160</f>
        <v>0.18039787275301553</v>
      </c>
      <c r="D182" s="39">
        <f t="shared" si="72"/>
        <v>0.13539406852570718</v>
      </c>
      <c r="E182" s="39">
        <f t="shared" si="72"/>
        <v>8.7080242078415596E-2</v>
      </c>
    </row>
    <row r="183" spans="1:12" x14ac:dyDescent="0.2">
      <c r="A183" t="s">
        <v>101</v>
      </c>
      <c r="B183" s="39">
        <f>(B156+B158+B157)/B160</f>
        <v>3.5594199995863669E-2</v>
      </c>
      <c r="C183" s="39">
        <f>(C156+C158+C157)/C160</f>
        <v>3.7221423794211332E-2</v>
      </c>
      <c r="D183" s="39">
        <f>(D156+D158+D157)/D160</f>
        <v>3.9070863800247414E-2</v>
      </c>
      <c r="E183" s="39">
        <f>(E156+E158+E157)/E160</f>
        <v>4.0663420763708505E-2</v>
      </c>
    </row>
    <row r="185" spans="1:12" ht="15" thickBot="1" x14ac:dyDescent="0.25">
      <c r="A185" s="16" t="s">
        <v>179</v>
      </c>
      <c r="B185" s="16"/>
      <c r="C185" s="16"/>
      <c r="D185" s="16"/>
      <c r="E185" s="16"/>
      <c r="F185" s="16"/>
    </row>
    <row r="186" spans="1:12" x14ac:dyDescent="0.2">
      <c r="B186" s="30">
        <v>2024</v>
      </c>
      <c r="C186" s="30">
        <v>2025</v>
      </c>
      <c r="D186" s="30">
        <v>2026</v>
      </c>
      <c r="E186" s="30">
        <v>2027</v>
      </c>
      <c r="F186" s="30" t="s">
        <v>10</v>
      </c>
    </row>
    <row r="187" spans="1:12" x14ac:dyDescent="0.2">
      <c r="A187" s="1" t="s">
        <v>0</v>
      </c>
      <c r="B187" s="52">
        <f>B160-N58</f>
        <v>0</v>
      </c>
      <c r="C187" s="52">
        <f>C160-O58</f>
        <v>1386544.3500000015</v>
      </c>
      <c r="D187" s="52">
        <f t="shared" ref="D187:E187" si="73">D160-P58</f>
        <v>4073198.4676803425</v>
      </c>
      <c r="E187" s="52">
        <f t="shared" si="73"/>
        <v>9027126.3774133995</v>
      </c>
      <c r="F187" s="53">
        <f>SUM(C187:E187)</f>
        <v>14486869.195093744</v>
      </c>
    </row>
    <row r="188" spans="1:12" x14ac:dyDescent="0.2">
      <c r="A188" s="1" t="s">
        <v>8</v>
      </c>
      <c r="B188" s="52">
        <f>B173-N67</f>
        <v>0</v>
      </c>
      <c r="C188" s="52">
        <f>C173-O67</f>
        <v>-932455.15632046014</v>
      </c>
      <c r="D188" s="52">
        <f t="shared" ref="D188:E188" si="74">D173-P67</f>
        <v>-2274768.3941274583</v>
      </c>
      <c r="E188" s="52">
        <f t="shared" si="74"/>
        <v>-3308055.0582748502</v>
      </c>
      <c r="F188" s="53">
        <f>SUM(C188:E188)</f>
        <v>-6515278.6087227687</v>
      </c>
    </row>
    <row r="189" spans="1:12" ht="15" x14ac:dyDescent="0.2">
      <c r="A189" s="1" t="s">
        <v>11</v>
      </c>
      <c r="B189" s="52">
        <f>SUM(B187:B188)</f>
        <v>0</v>
      </c>
      <c r="C189" s="52">
        <f t="shared" ref="C189:E189" si="75">SUM(C187:C188)</f>
        <v>454089.19367954135</v>
      </c>
      <c r="D189" s="52">
        <f t="shared" si="75"/>
        <v>1798430.0735528842</v>
      </c>
      <c r="E189" s="52">
        <f t="shared" si="75"/>
        <v>5719071.3191385493</v>
      </c>
      <c r="F189" s="47">
        <f>F187-F188</f>
        <v>21002147.803816512</v>
      </c>
      <c r="H189" s="95"/>
    </row>
    <row r="190" spans="1:12" ht="15" x14ac:dyDescent="0.2">
      <c r="H190" s="96"/>
    </row>
    <row r="191" spans="1:12" ht="15" x14ac:dyDescent="0.2">
      <c r="H191" s="96"/>
    </row>
    <row r="192" spans="1:12" ht="15" x14ac:dyDescent="0.2">
      <c r="H192" s="96"/>
    </row>
    <row r="193" spans="1:8" ht="15" x14ac:dyDescent="0.2">
      <c r="H193" s="96"/>
    </row>
    <row r="197" spans="1:8" x14ac:dyDescent="0.2">
      <c r="A197" s="1" t="s">
        <v>0</v>
      </c>
      <c r="B197" s="18"/>
      <c r="C197" s="18"/>
      <c r="D197" s="18"/>
      <c r="E197" s="18"/>
    </row>
    <row r="198" spans="1:8" x14ac:dyDescent="0.2">
      <c r="A198" s="5" t="s">
        <v>24</v>
      </c>
      <c r="B198" s="67">
        <v>13300000</v>
      </c>
      <c r="C198" s="67">
        <v>14004900</v>
      </c>
      <c r="D198" s="67">
        <v>14817677.041055717</v>
      </c>
      <c r="E198" s="67">
        <v>15752238.132448286</v>
      </c>
      <c r="G198" s="67">
        <v>1000000</v>
      </c>
    </row>
    <row r="199" spans="1:8" x14ac:dyDescent="0.2">
      <c r="A199" s="5" t="s">
        <v>16</v>
      </c>
      <c r="B199" s="67">
        <v>5699999.9999999991</v>
      </c>
      <c r="C199" s="67">
        <v>6002099.9999999991</v>
      </c>
      <c r="D199" s="67">
        <v>6350433.017595306</v>
      </c>
      <c r="E199" s="67">
        <v>6750959.199620693</v>
      </c>
    </row>
    <row r="200" spans="1:8" x14ac:dyDescent="0.2">
      <c r="A200" s="5" t="s">
        <v>17</v>
      </c>
      <c r="B200" s="67">
        <v>4151950.0000000005</v>
      </c>
      <c r="C200" s="67">
        <v>4372003.3500000006</v>
      </c>
      <c r="D200" s="67">
        <v>4625733.3977903221</v>
      </c>
      <c r="E200" s="67">
        <v>4917481.5875201998</v>
      </c>
    </row>
    <row r="201" spans="1:8" x14ac:dyDescent="0.2">
      <c r="A201" s="5" t="s">
        <v>26</v>
      </c>
      <c r="B201" s="67">
        <v>21020000</v>
      </c>
      <c r="C201" s="67">
        <v>22134060</v>
      </c>
      <c r="D201" s="67">
        <v>23418614.391202342</v>
      </c>
      <c r="E201" s="67">
        <v>24895642.52211</v>
      </c>
    </row>
    <row r="202" spans="1:8" x14ac:dyDescent="0.2">
      <c r="A202" s="5" t="s">
        <v>30</v>
      </c>
      <c r="B202" s="67">
        <v>127500</v>
      </c>
      <c r="C202" s="67">
        <v>134257.5</v>
      </c>
      <c r="D202" s="67">
        <v>142049.15960410555</v>
      </c>
      <c r="E202" s="67">
        <v>151008.29788625235</v>
      </c>
    </row>
    <row r="203" spans="1:8" x14ac:dyDescent="0.2">
      <c r="A203" s="5" t="s">
        <v>29</v>
      </c>
      <c r="B203" s="67">
        <v>660000</v>
      </c>
      <c r="C203" s="67">
        <v>727980</v>
      </c>
      <c r="D203" s="67">
        <v>824826.95806451596</v>
      </c>
      <c r="E203" s="67">
        <v>959332.05792276131</v>
      </c>
    </row>
    <row r="204" spans="1:8" x14ac:dyDescent="0.2">
      <c r="A204" s="5" t="s">
        <v>31</v>
      </c>
      <c r="B204" s="67">
        <v>150000</v>
      </c>
      <c r="C204" s="67">
        <v>165450</v>
      </c>
      <c r="D204" s="67">
        <v>187460.67228739001</v>
      </c>
      <c r="E204" s="67">
        <v>218030.01316426395</v>
      </c>
    </row>
    <row r="205" spans="1:8" x14ac:dyDescent="0.2">
      <c r="A205" s="5" t="s">
        <v>32</v>
      </c>
      <c r="B205" s="67">
        <v>825000</v>
      </c>
      <c r="C205" s="67">
        <v>909975</v>
      </c>
      <c r="D205" s="67">
        <v>1031033.697580645</v>
      </c>
      <c r="E205" s="67">
        <v>1199165.0724034517</v>
      </c>
    </row>
    <row r="206" spans="1:8" x14ac:dyDescent="0.2">
      <c r="A206" s="5" t="s">
        <v>153</v>
      </c>
      <c r="B206" s="67">
        <v>0</v>
      </c>
      <c r="C206" s="67">
        <v>0</v>
      </c>
      <c r="D206" s="67">
        <v>900000</v>
      </c>
      <c r="E206" s="67">
        <v>3600000</v>
      </c>
    </row>
    <row r="207" spans="1:8" x14ac:dyDescent="0.2">
      <c r="A207" s="58" t="s">
        <v>19</v>
      </c>
      <c r="B207" s="68">
        <v>45934450</v>
      </c>
      <c r="C207" s="68">
        <v>48450725.850000001</v>
      </c>
      <c r="D207" s="68">
        <v>52297828.335180342</v>
      </c>
      <c r="E207" s="68">
        <v>58443856.883075908</v>
      </c>
    </row>
    <row r="208" spans="1:8" x14ac:dyDescent="0.2">
      <c r="A208" s="1" t="s">
        <v>8</v>
      </c>
      <c r="B208" s="67"/>
      <c r="C208" s="67"/>
      <c r="D208" s="67"/>
      <c r="E208" s="67"/>
    </row>
    <row r="209" spans="1:5" x14ac:dyDescent="0.2">
      <c r="A209" s="5" t="s">
        <v>35</v>
      </c>
      <c r="B209" s="67">
        <v>13345000</v>
      </c>
      <c r="C209" s="67">
        <v>14431250</v>
      </c>
      <c r="D209" s="67">
        <v>15610700</v>
      </c>
      <c r="E209" s="67">
        <v>17200700</v>
      </c>
    </row>
    <row r="210" spans="1:5" x14ac:dyDescent="0.2">
      <c r="A210" s="5" t="s">
        <v>36</v>
      </c>
      <c r="B210" s="67">
        <v>325000</v>
      </c>
      <c r="C210" s="67">
        <v>347200</v>
      </c>
      <c r="D210" s="67">
        <v>361500</v>
      </c>
      <c r="E210" s="67">
        <v>394480.51948051952</v>
      </c>
    </row>
    <row r="211" spans="1:5" x14ac:dyDescent="0.2">
      <c r="A211" s="5" t="s">
        <v>64</v>
      </c>
      <c r="B211" s="67">
        <v>2150000</v>
      </c>
      <c r="C211" s="67">
        <v>1935000</v>
      </c>
      <c r="D211" s="67">
        <v>1344000</v>
      </c>
      <c r="E211" s="67">
        <v>1440000</v>
      </c>
    </row>
    <row r="212" spans="1:5" x14ac:dyDescent="0.2">
      <c r="A212" s="5" t="s">
        <v>45</v>
      </c>
      <c r="B212" s="67"/>
      <c r="C212" s="67"/>
      <c r="D212" s="67"/>
      <c r="E212" s="67"/>
    </row>
    <row r="213" spans="1:5" x14ac:dyDescent="0.2">
      <c r="A213" s="48" t="s">
        <v>42</v>
      </c>
      <c r="B213" s="67">
        <v>10400000</v>
      </c>
      <c r="C213" s="67">
        <v>8740407.8766795397</v>
      </c>
      <c r="D213" s="67">
        <v>7080815.7533590784</v>
      </c>
      <c r="E213" s="67">
        <v>5089305.2053745259</v>
      </c>
    </row>
    <row r="214" spans="1:5" x14ac:dyDescent="0.2">
      <c r="A214" s="48" t="s">
        <v>43</v>
      </c>
      <c r="B214" s="67">
        <v>325000</v>
      </c>
      <c r="C214" s="67">
        <v>227500</v>
      </c>
      <c r="D214" s="67">
        <v>97500.000000000015</v>
      </c>
      <c r="E214" s="67">
        <v>0</v>
      </c>
    </row>
    <row r="215" spans="1:5" x14ac:dyDescent="0.2">
      <c r="A215" s="48" t="s">
        <v>44</v>
      </c>
      <c r="B215" s="67">
        <v>4140175</v>
      </c>
      <c r="C215" s="67">
        <v>4140175</v>
      </c>
      <c r="D215" s="67">
        <v>4140175</v>
      </c>
      <c r="E215" s="67">
        <v>4140175</v>
      </c>
    </row>
    <row r="216" spans="1:5" x14ac:dyDescent="0.2">
      <c r="A216" s="5" t="s">
        <v>38</v>
      </c>
      <c r="B216" s="67">
        <v>7860000</v>
      </c>
      <c r="C216" s="67">
        <v>7379872.4669999992</v>
      </c>
      <c r="D216" s="67">
        <v>6891708.3700134605</v>
      </c>
      <c r="E216" s="67">
        <v>6354893.2387326136</v>
      </c>
    </row>
    <row r="217" spans="1:5" x14ac:dyDescent="0.2">
      <c r="A217" s="5" t="s">
        <v>39</v>
      </c>
      <c r="B217" s="67">
        <v>1100000</v>
      </c>
      <c r="C217" s="67">
        <v>1100000</v>
      </c>
      <c r="D217" s="67">
        <v>1100000</v>
      </c>
      <c r="E217" s="67">
        <v>1100000</v>
      </c>
    </row>
    <row r="218" spans="1:5" x14ac:dyDescent="0.2">
      <c r="A218" s="5" t="s">
        <v>40</v>
      </c>
      <c r="B218" s="67">
        <v>2300000</v>
      </c>
      <c r="C218" s="67">
        <v>3000000</v>
      </c>
      <c r="D218" s="67">
        <v>4000000</v>
      </c>
      <c r="E218" s="67">
        <v>4560000</v>
      </c>
    </row>
    <row r="219" spans="1:5" x14ac:dyDescent="0.2">
      <c r="A219" s="5" t="s">
        <v>145</v>
      </c>
      <c r="B219" s="67">
        <v>0</v>
      </c>
      <c r="C219" s="67">
        <v>450000</v>
      </c>
      <c r="D219" s="67">
        <v>540000</v>
      </c>
      <c r="E219" s="67">
        <v>630000</v>
      </c>
    </row>
    <row r="220" spans="1:5" x14ac:dyDescent="0.2">
      <c r="A220" s="58" t="s">
        <v>19</v>
      </c>
      <c r="B220" s="56">
        <v>41945175</v>
      </c>
      <c r="C220" s="56">
        <v>41751405.34367954</v>
      </c>
      <c r="D220" s="56">
        <v>41166399.12337254</v>
      </c>
      <c r="E220" s="56">
        <v>40909553.963587657</v>
      </c>
    </row>
    <row r="221" spans="1:5" x14ac:dyDescent="0.2">
      <c r="A221" s="35"/>
      <c r="B221" s="57"/>
      <c r="C221" s="57"/>
      <c r="D221" s="57"/>
      <c r="E221" s="57"/>
    </row>
    <row r="222" spans="1:5" x14ac:dyDescent="0.2">
      <c r="A222" s="1" t="s">
        <v>1</v>
      </c>
      <c r="B222" s="46">
        <v>3989275</v>
      </c>
      <c r="C222" s="46">
        <v>6699320.5063204616</v>
      </c>
      <c r="D222" s="46">
        <v>11131429.211807802</v>
      </c>
      <c r="E222" s="46">
        <v>17534302.919488251</v>
      </c>
    </row>
    <row r="223" spans="1:5" x14ac:dyDescent="0.2">
      <c r="A223" s="34" t="s">
        <v>2</v>
      </c>
      <c r="B223" s="36">
        <v>8.6847126720794518E-2</v>
      </c>
      <c r="C223" s="36">
        <v>0.13827079757403596</v>
      </c>
      <c r="D223" s="36">
        <v>0.21284687273180283</v>
      </c>
      <c r="E223" s="36">
        <v>0.30001960607370198</v>
      </c>
    </row>
    <row r="229" spans="1:5" x14ac:dyDescent="0.2">
      <c r="A229" s="1" t="s">
        <v>182</v>
      </c>
      <c r="B229" s="90"/>
      <c r="C229" s="90"/>
      <c r="D229" s="90"/>
      <c r="E229" s="90"/>
    </row>
    <row r="230" spans="1:5" x14ac:dyDescent="0.2">
      <c r="A230" s="5" t="s">
        <v>24</v>
      </c>
      <c r="B230" s="91">
        <f t="shared" ref="B230:E252" si="76">B198/$G$198</f>
        <v>13.3</v>
      </c>
      <c r="C230" s="91">
        <f t="shared" si="76"/>
        <v>14.004899999999999</v>
      </c>
      <c r="D230" s="91">
        <f t="shared" si="76"/>
        <v>14.817677041055717</v>
      </c>
      <c r="E230" s="91">
        <f t="shared" si="76"/>
        <v>15.752238132448285</v>
      </c>
    </row>
    <row r="231" spans="1:5" x14ac:dyDescent="0.2">
      <c r="A231" s="5" t="s">
        <v>16</v>
      </c>
      <c r="B231" s="91">
        <f t="shared" si="76"/>
        <v>5.6999999999999993</v>
      </c>
      <c r="C231" s="91">
        <f t="shared" si="76"/>
        <v>6.0020999999999987</v>
      </c>
      <c r="D231" s="91">
        <f t="shared" si="76"/>
        <v>6.3504330175953063</v>
      </c>
      <c r="E231" s="91">
        <f t="shared" si="76"/>
        <v>6.7509591996206932</v>
      </c>
    </row>
    <row r="232" spans="1:5" x14ac:dyDescent="0.2">
      <c r="A232" s="5" t="s">
        <v>17</v>
      </c>
      <c r="B232" s="91">
        <f t="shared" si="76"/>
        <v>4.1519500000000003</v>
      </c>
      <c r="C232" s="91">
        <f t="shared" si="76"/>
        <v>4.3720033500000008</v>
      </c>
      <c r="D232" s="91">
        <f t="shared" si="76"/>
        <v>4.6257333977903219</v>
      </c>
      <c r="E232" s="91">
        <f t="shared" si="76"/>
        <v>4.9174815875202</v>
      </c>
    </row>
    <row r="233" spans="1:5" x14ac:dyDescent="0.2">
      <c r="A233" s="5" t="s">
        <v>26</v>
      </c>
      <c r="B233" s="91">
        <f t="shared" si="76"/>
        <v>21.02</v>
      </c>
      <c r="C233" s="91">
        <f t="shared" si="76"/>
        <v>22.134060000000002</v>
      </c>
      <c r="D233" s="91">
        <f t="shared" si="76"/>
        <v>23.418614391202343</v>
      </c>
      <c r="E233" s="91">
        <f t="shared" si="76"/>
        <v>24.895642522110002</v>
      </c>
    </row>
    <row r="234" spans="1:5" x14ac:dyDescent="0.2">
      <c r="A234" s="5" t="s">
        <v>30</v>
      </c>
      <c r="B234" s="91">
        <f t="shared" si="76"/>
        <v>0.1275</v>
      </c>
      <c r="C234" s="91">
        <f t="shared" si="76"/>
        <v>0.1342575</v>
      </c>
      <c r="D234" s="91">
        <f t="shared" si="76"/>
        <v>0.14204915960410555</v>
      </c>
      <c r="E234" s="91">
        <f t="shared" si="76"/>
        <v>0.15100829788625234</v>
      </c>
    </row>
    <row r="235" spans="1:5" x14ac:dyDescent="0.2">
      <c r="A235" s="5" t="s">
        <v>29</v>
      </c>
      <c r="B235" s="91">
        <f t="shared" si="76"/>
        <v>0.66</v>
      </c>
      <c r="C235" s="91">
        <f t="shared" si="76"/>
        <v>0.72797999999999996</v>
      </c>
      <c r="D235" s="91">
        <f t="shared" si="76"/>
        <v>0.824826958064516</v>
      </c>
      <c r="E235" s="91">
        <f t="shared" si="76"/>
        <v>0.95933205792276133</v>
      </c>
    </row>
    <row r="236" spans="1:5" x14ac:dyDescent="0.2">
      <c r="A236" s="5" t="s">
        <v>31</v>
      </c>
      <c r="B236" s="91">
        <f t="shared" si="76"/>
        <v>0.15</v>
      </c>
      <c r="C236" s="91">
        <f t="shared" si="76"/>
        <v>0.16545000000000001</v>
      </c>
      <c r="D236" s="91">
        <f t="shared" si="76"/>
        <v>0.18746067228739002</v>
      </c>
      <c r="E236" s="91">
        <f t="shared" si="76"/>
        <v>0.21803001316426396</v>
      </c>
    </row>
    <row r="237" spans="1:5" x14ac:dyDescent="0.2">
      <c r="A237" s="5" t="s">
        <v>181</v>
      </c>
      <c r="B237" s="91">
        <f t="shared" si="76"/>
        <v>0.82499999999999996</v>
      </c>
      <c r="C237" s="91">
        <f t="shared" si="76"/>
        <v>0.90997499999999998</v>
      </c>
      <c r="D237" s="91">
        <f t="shared" si="76"/>
        <v>1.0310336975806449</v>
      </c>
      <c r="E237" s="91">
        <f t="shared" si="76"/>
        <v>1.1991650724034517</v>
      </c>
    </row>
    <row r="238" spans="1:5" x14ac:dyDescent="0.2">
      <c r="A238" s="5" t="s">
        <v>153</v>
      </c>
      <c r="B238" s="94">
        <f t="shared" si="76"/>
        <v>0</v>
      </c>
      <c r="C238" s="94">
        <f t="shared" si="76"/>
        <v>0</v>
      </c>
      <c r="D238" s="94">
        <f t="shared" si="76"/>
        <v>0.9</v>
      </c>
      <c r="E238" s="94">
        <f t="shared" si="76"/>
        <v>3.6</v>
      </c>
    </row>
    <row r="239" spans="1:5" x14ac:dyDescent="0.2">
      <c r="A239" s="58" t="s">
        <v>19</v>
      </c>
      <c r="B239" s="93">
        <f t="shared" si="76"/>
        <v>45.934449999999998</v>
      </c>
      <c r="C239" s="93">
        <f t="shared" si="76"/>
        <v>48.450725850000005</v>
      </c>
      <c r="D239" s="93">
        <f t="shared" si="76"/>
        <v>52.297828335180341</v>
      </c>
      <c r="E239" s="93">
        <f t="shared" si="76"/>
        <v>58.44385688307591</v>
      </c>
    </row>
    <row r="240" spans="1:5" x14ac:dyDescent="0.2">
      <c r="A240" s="1" t="s">
        <v>183</v>
      </c>
      <c r="B240" s="92"/>
      <c r="C240" s="92"/>
      <c r="D240" s="92"/>
      <c r="E240" s="92"/>
    </row>
    <row r="241" spans="1:5" x14ac:dyDescent="0.2">
      <c r="A241" s="5" t="s">
        <v>35</v>
      </c>
      <c r="B241" s="91">
        <f t="shared" si="76"/>
        <v>13.345000000000001</v>
      </c>
      <c r="C241" s="91">
        <f t="shared" si="76"/>
        <v>14.43125</v>
      </c>
      <c r="D241" s="91">
        <f t="shared" si="76"/>
        <v>15.6107</v>
      </c>
      <c r="E241" s="91">
        <f t="shared" si="76"/>
        <v>17.200700000000001</v>
      </c>
    </row>
    <row r="242" spans="1:5" x14ac:dyDescent="0.2">
      <c r="A242" s="5" t="s">
        <v>36</v>
      </c>
      <c r="B242" s="91">
        <f t="shared" si="76"/>
        <v>0.32500000000000001</v>
      </c>
      <c r="C242" s="91">
        <f t="shared" si="76"/>
        <v>0.34720000000000001</v>
      </c>
      <c r="D242" s="91">
        <f t="shared" si="76"/>
        <v>0.36149999999999999</v>
      </c>
      <c r="E242" s="91">
        <f t="shared" si="76"/>
        <v>0.39448051948051954</v>
      </c>
    </row>
    <row r="243" spans="1:5" x14ac:dyDescent="0.2">
      <c r="A243" s="5" t="s">
        <v>64</v>
      </c>
      <c r="B243" s="91">
        <f t="shared" si="76"/>
        <v>2.15</v>
      </c>
      <c r="C243" s="91">
        <f t="shared" si="76"/>
        <v>1.9350000000000001</v>
      </c>
      <c r="D243" s="91">
        <f t="shared" si="76"/>
        <v>1.3440000000000001</v>
      </c>
      <c r="E243" s="91">
        <f t="shared" si="76"/>
        <v>1.44</v>
      </c>
    </row>
    <row r="244" spans="1:5" x14ac:dyDescent="0.2">
      <c r="A244" s="5" t="s">
        <v>45</v>
      </c>
      <c r="B244" s="91"/>
      <c r="C244" s="91"/>
      <c r="D244" s="91"/>
      <c r="E244" s="91"/>
    </row>
    <row r="245" spans="1:5" x14ac:dyDescent="0.2">
      <c r="A245" s="48" t="s">
        <v>42</v>
      </c>
      <c r="B245" s="91">
        <f t="shared" si="76"/>
        <v>10.4</v>
      </c>
      <c r="C245" s="91">
        <f t="shared" si="76"/>
        <v>8.740407876679539</v>
      </c>
      <c r="D245" s="91">
        <f t="shared" si="76"/>
        <v>7.0808157533590785</v>
      </c>
      <c r="E245" s="91">
        <f t="shared" si="76"/>
        <v>5.0893052053745258</v>
      </c>
    </row>
    <row r="246" spans="1:5" x14ac:dyDescent="0.2">
      <c r="A246" s="48" t="s">
        <v>43</v>
      </c>
      <c r="B246" s="91">
        <f t="shared" si="76"/>
        <v>0.32500000000000001</v>
      </c>
      <c r="C246" s="91">
        <f t="shared" si="76"/>
        <v>0.22750000000000001</v>
      </c>
      <c r="D246" s="91">
        <f t="shared" si="76"/>
        <v>9.7500000000000017E-2</v>
      </c>
      <c r="E246" s="91">
        <f t="shared" si="76"/>
        <v>0</v>
      </c>
    </row>
    <row r="247" spans="1:5" x14ac:dyDescent="0.2">
      <c r="A247" s="48" t="s">
        <v>44</v>
      </c>
      <c r="B247" s="91">
        <f t="shared" si="76"/>
        <v>4.1401750000000002</v>
      </c>
      <c r="C247" s="91">
        <f t="shared" si="76"/>
        <v>4.1401750000000002</v>
      </c>
      <c r="D247" s="91">
        <f t="shared" si="76"/>
        <v>4.1401750000000002</v>
      </c>
      <c r="E247" s="91">
        <f t="shared" si="76"/>
        <v>4.1401750000000002</v>
      </c>
    </row>
    <row r="248" spans="1:5" x14ac:dyDescent="0.2">
      <c r="A248" s="5" t="s">
        <v>38</v>
      </c>
      <c r="B248" s="91">
        <f t="shared" si="76"/>
        <v>7.86</v>
      </c>
      <c r="C248" s="91">
        <f t="shared" si="76"/>
        <v>7.3798724669999993</v>
      </c>
      <c r="D248" s="91">
        <f t="shared" si="76"/>
        <v>6.8917083700134603</v>
      </c>
      <c r="E248" s="91">
        <f t="shared" si="76"/>
        <v>6.3548932387326138</v>
      </c>
    </row>
    <row r="249" spans="1:5" x14ac:dyDescent="0.2">
      <c r="A249" s="5" t="s">
        <v>39</v>
      </c>
      <c r="B249" s="91">
        <f t="shared" si="76"/>
        <v>1.1000000000000001</v>
      </c>
      <c r="C249" s="91">
        <f t="shared" si="76"/>
        <v>1.1000000000000001</v>
      </c>
      <c r="D249" s="91">
        <f t="shared" si="76"/>
        <v>1.1000000000000001</v>
      </c>
      <c r="E249" s="91">
        <f t="shared" si="76"/>
        <v>1.1000000000000001</v>
      </c>
    </row>
    <row r="250" spans="1:5" x14ac:dyDescent="0.2">
      <c r="A250" s="5" t="s">
        <v>40</v>
      </c>
      <c r="B250" s="91">
        <f t="shared" si="76"/>
        <v>2.2999999999999998</v>
      </c>
      <c r="C250" s="91">
        <f t="shared" si="76"/>
        <v>3</v>
      </c>
      <c r="D250" s="91">
        <f t="shared" si="76"/>
        <v>4</v>
      </c>
      <c r="E250" s="91">
        <f t="shared" si="76"/>
        <v>4.5599999999999996</v>
      </c>
    </row>
    <row r="251" spans="1:5" x14ac:dyDescent="0.2">
      <c r="A251" s="5" t="s">
        <v>145</v>
      </c>
      <c r="B251" s="94">
        <f t="shared" si="76"/>
        <v>0</v>
      </c>
      <c r="C251" s="94">
        <f t="shared" si="76"/>
        <v>0.45</v>
      </c>
      <c r="D251" s="94">
        <f t="shared" si="76"/>
        <v>0.54</v>
      </c>
      <c r="E251" s="94">
        <f t="shared" si="76"/>
        <v>0.63</v>
      </c>
    </row>
    <row r="252" spans="1:5" x14ac:dyDescent="0.2">
      <c r="A252" s="58" t="s">
        <v>19</v>
      </c>
      <c r="B252" s="93">
        <f t="shared" si="76"/>
        <v>41.945174999999999</v>
      </c>
      <c r="C252" s="93">
        <f t="shared" si="76"/>
        <v>41.751405343679536</v>
      </c>
      <c r="D252" s="93">
        <f t="shared" si="76"/>
        <v>41.166399123372543</v>
      </c>
      <c r="E252" s="93">
        <f t="shared" si="76"/>
        <v>40.909553963587655</v>
      </c>
    </row>
    <row r="253" spans="1:5" x14ac:dyDescent="0.2">
      <c r="A253" s="35"/>
    </row>
    <row r="254" spans="1:5" x14ac:dyDescent="0.2">
      <c r="A254" s="1" t="s">
        <v>184</v>
      </c>
      <c r="B254" s="46">
        <f>B239-B252</f>
        <v>3.9892749999999992</v>
      </c>
      <c r="C254" s="46">
        <f>C239-C252</f>
        <v>6.6993205063204684</v>
      </c>
      <c r="D254" s="46">
        <f>D239-D252</f>
        <v>11.131429211807799</v>
      </c>
      <c r="E254" s="46">
        <f>E239-E252</f>
        <v>17.534302919488255</v>
      </c>
    </row>
    <row r="255" spans="1:5" ht="15" thickBot="1" x14ac:dyDescent="0.25">
      <c r="A255" s="34" t="s">
        <v>2</v>
      </c>
      <c r="B255" s="36">
        <f>B254/B239</f>
        <v>8.6847126720794504E-2</v>
      </c>
      <c r="C255" s="36">
        <f>C254/C239</f>
        <v>0.1382707975740361</v>
      </c>
      <c r="D255" s="36">
        <f>D254/D239</f>
        <v>0.21284687273180278</v>
      </c>
      <c r="E255" s="36">
        <f>E254/E239</f>
        <v>0.30001960607370204</v>
      </c>
    </row>
    <row r="256" spans="1:5" ht="15" thickBot="1" x14ac:dyDescent="0.25">
      <c r="B256" s="100"/>
      <c r="C256" s="101"/>
      <c r="D256" s="101"/>
      <c r="E256" s="102"/>
    </row>
    <row r="257" spans="1:8" ht="15" thickBot="1" x14ac:dyDescent="0.25">
      <c r="B257" s="188" t="s">
        <v>191</v>
      </c>
      <c r="C257" s="189"/>
      <c r="D257" s="190" t="s">
        <v>192</v>
      </c>
      <c r="E257" s="191"/>
    </row>
    <row r="258" spans="1:8" x14ac:dyDescent="0.2">
      <c r="B258" s="111">
        <v>2024</v>
      </c>
      <c r="C258" s="97">
        <v>2027</v>
      </c>
      <c r="D258" s="111">
        <v>2024</v>
      </c>
      <c r="E258" s="97">
        <v>2027</v>
      </c>
    </row>
    <row r="259" spans="1:8" ht="6" customHeight="1" x14ac:dyDescent="0.2">
      <c r="A259" s="107"/>
      <c r="B259" s="112"/>
      <c r="C259" s="106"/>
      <c r="D259" s="112"/>
      <c r="E259" s="106"/>
    </row>
    <row r="260" spans="1:8" x14ac:dyDescent="0.2">
      <c r="A260" s="5" t="s">
        <v>186</v>
      </c>
      <c r="B260" s="113">
        <f>B283/1000000</f>
        <v>44.171950000000002</v>
      </c>
      <c r="C260" s="103">
        <f>C283/1000000</f>
        <v>47.382652101600009</v>
      </c>
      <c r="D260" s="113">
        <v>44.171949999999995</v>
      </c>
      <c r="E260" s="103">
        <v>52.316321441699181</v>
      </c>
    </row>
    <row r="261" spans="1:8" x14ac:dyDescent="0.2">
      <c r="A261" s="5" t="s">
        <v>187</v>
      </c>
      <c r="B261" s="113">
        <f>B284/1000000</f>
        <v>1.7625</v>
      </c>
      <c r="C261" s="103">
        <f>C284/1000000</f>
        <v>2.0340784040625</v>
      </c>
      <c r="D261" s="113">
        <v>1.7625000000000002</v>
      </c>
      <c r="E261" s="103">
        <v>2.5275354413767293</v>
      </c>
    </row>
    <row r="262" spans="1:8" x14ac:dyDescent="0.2">
      <c r="A262" s="5" t="s">
        <v>188</v>
      </c>
      <c r="B262" s="114" t="s">
        <v>190</v>
      </c>
      <c r="C262" s="104" t="s">
        <v>190</v>
      </c>
      <c r="D262" s="114" t="s">
        <v>190</v>
      </c>
      <c r="E262" s="104" t="s">
        <v>190</v>
      </c>
    </row>
    <row r="263" spans="1:8" x14ac:dyDescent="0.2">
      <c r="A263" s="58" t="s">
        <v>19</v>
      </c>
      <c r="B263" s="115">
        <f>SUM(B260:B262)</f>
        <v>45.934450000000005</v>
      </c>
      <c r="C263" s="105">
        <f>C286/1000000</f>
        <v>49.416730505662507</v>
      </c>
      <c r="D263" s="115">
        <v>45.934449999999998</v>
      </c>
      <c r="E263" s="105">
        <v>58.44385688307591</v>
      </c>
    </row>
    <row r="264" spans="1:8" ht="6" customHeight="1" x14ac:dyDescent="0.2">
      <c r="A264" s="107"/>
      <c r="B264" s="116"/>
      <c r="C264" s="108"/>
      <c r="D264" s="120"/>
      <c r="E264" s="109"/>
    </row>
    <row r="265" spans="1:8" x14ac:dyDescent="0.2">
      <c r="A265" s="5" t="s">
        <v>35</v>
      </c>
      <c r="B265" s="113">
        <f t="shared" ref="B265:C272" si="77">B288/1000000</f>
        <v>13.345000000000001</v>
      </c>
      <c r="C265" s="103">
        <f t="shared" si="77"/>
        <v>14.381001254362499</v>
      </c>
      <c r="D265" s="113">
        <v>13.345000000000001</v>
      </c>
      <c r="E265" s="103">
        <v>17.200700000000001</v>
      </c>
    </row>
    <row r="266" spans="1:8" x14ac:dyDescent="0.2">
      <c r="A266" s="5" t="s">
        <v>36</v>
      </c>
      <c r="B266" s="113">
        <f t="shared" si="77"/>
        <v>0.32500000000000001</v>
      </c>
      <c r="C266" s="103">
        <f t="shared" si="77"/>
        <v>0.32500000000000001</v>
      </c>
      <c r="D266" s="113">
        <v>0.32500000000000001</v>
      </c>
      <c r="E266" s="103">
        <v>0.39448051948051954</v>
      </c>
    </row>
    <row r="267" spans="1:8" x14ac:dyDescent="0.2">
      <c r="A267" s="5" t="s">
        <v>64</v>
      </c>
      <c r="B267" s="113">
        <f t="shared" si="77"/>
        <v>2.15</v>
      </c>
      <c r="C267" s="103">
        <f t="shared" si="77"/>
        <v>2.15</v>
      </c>
      <c r="D267" s="113">
        <v>2.15</v>
      </c>
      <c r="E267" s="103">
        <v>1.44</v>
      </c>
    </row>
    <row r="268" spans="1:8" x14ac:dyDescent="0.2">
      <c r="A268" s="5" t="s">
        <v>42</v>
      </c>
      <c r="B268" s="113">
        <f t="shared" si="77"/>
        <v>10.4</v>
      </c>
      <c r="C268" s="103">
        <f t="shared" si="77"/>
        <v>11.036563200000002</v>
      </c>
      <c r="D268" s="113">
        <v>10.4</v>
      </c>
      <c r="E268" s="103">
        <v>5.0893052053745258</v>
      </c>
    </row>
    <row r="269" spans="1:8" x14ac:dyDescent="0.2">
      <c r="A269" s="5" t="s">
        <v>189</v>
      </c>
      <c r="B269" s="113">
        <f t="shared" si="77"/>
        <v>4.4651750000000003</v>
      </c>
      <c r="C269" s="103">
        <f t="shared" si="77"/>
        <v>4.4651750000000003</v>
      </c>
      <c r="D269" s="113">
        <v>4.4651750000000003</v>
      </c>
      <c r="E269" s="103">
        <v>4.1401750000000002</v>
      </c>
      <c r="F269" s="92"/>
      <c r="G269" s="92"/>
      <c r="H269" s="92"/>
    </row>
    <row r="270" spans="1:8" x14ac:dyDescent="0.2">
      <c r="A270" s="5" t="s">
        <v>38</v>
      </c>
      <c r="B270" s="113">
        <f t="shared" si="77"/>
        <v>7.86</v>
      </c>
      <c r="C270" s="103">
        <f t="shared" si="77"/>
        <v>8.4598695674999984</v>
      </c>
      <c r="D270" s="113">
        <v>7.86</v>
      </c>
      <c r="E270" s="103">
        <v>6.3548932387326138</v>
      </c>
    </row>
    <row r="271" spans="1:8" x14ac:dyDescent="0.2">
      <c r="A271" s="5" t="s">
        <v>39</v>
      </c>
      <c r="B271" s="113">
        <f t="shared" si="77"/>
        <v>1.1000000000000001</v>
      </c>
      <c r="C271" s="103">
        <f t="shared" si="77"/>
        <v>1.1000000000000001</v>
      </c>
      <c r="D271" s="113">
        <v>1.1000000000000001</v>
      </c>
      <c r="E271" s="103">
        <v>1.1000000000000001</v>
      </c>
    </row>
    <row r="272" spans="1:8" x14ac:dyDescent="0.2">
      <c r="A272" s="5" t="s">
        <v>40</v>
      </c>
      <c r="B272" s="113">
        <f t="shared" si="77"/>
        <v>2.2999999999999998</v>
      </c>
      <c r="C272" s="103">
        <f t="shared" si="77"/>
        <v>2.2999999999999998</v>
      </c>
      <c r="D272" s="113">
        <v>2.2999999999999998</v>
      </c>
      <c r="E272" s="103">
        <v>4.5599999999999996</v>
      </c>
    </row>
    <row r="273" spans="1:11" x14ac:dyDescent="0.2">
      <c r="A273" s="5" t="s">
        <v>145</v>
      </c>
      <c r="B273" s="113" t="s">
        <v>190</v>
      </c>
      <c r="C273" s="103" t="s">
        <v>190</v>
      </c>
      <c r="D273" s="113" t="s">
        <v>190</v>
      </c>
      <c r="E273" s="103" t="s">
        <v>190</v>
      </c>
    </row>
    <row r="274" spans="1:11" x14ac:dyDescent="0.2">
      <c r="A274" s="58" t="s">
        <v>19</v>
      </c>
      <c r="B274" s="117">
        <f>SUM(B265:B273)</f>
        <v>41.945174999999999</v>
      </c>
      <c r="C274" s="99">
        <f>C297/1000000</f>
        <v>44.217609021862508</v>
      </c>
      <c r="D274" s="117">
        <v>41.945174999999999</v>
      </c>
      <c r="E274" s="99">
        <v>40.909553963587655</v>
      </c>
    </row>
    <row r="275" spans="1:11" ht="5" customHeight="1" x14ac:dyDescent="0.2">
      <c r="A275" s="35"/>
      <c r="B275" s="118"/>
      <c r="C275" s="98"/>
      <c r="D275" s="118"/>
      <c r="E275" s="98"/>
    </row>
    <row r="276" spans="1:11" ht="15" thickBot="1" x14ac:dyDescent="0.25">
      <c r="A276" s="1" t="s">
        <v>184</v>
      </c>
      <c r="B276" s="119">
        <v>3.9892749999999992</v>
      </c>
      <c r="C276" s="110">
        <v>6.6993205063204684</v>
      </c>
      <c r="D276" s="119">
        <v>11.131429211807799</v>
      </c>
      <c r="E276" s="110">
        <v>17.534302919488255</v>
      </c>
    </row>
    <row r="282" spans="1:11" x14ac:dyDescent="0.2">
      <c r="A282" s="1" t="s">
        <v>182</v>
      </c>
      <c r="B282" s="30">
        <v>2024</v>
      </c>
      <c r="E282" s="30">
        <v>2027</v>
      </c>
      <c r="G282" s="1" t="s">
        <v>0</v>
      </c>
      <c r="H282" s="18"/>
      <c r="I282" s="18"/>
      <c r="J282" s="18"/>
      <c r="K282" s="18"/>
    </row>
    <row r="283" spans="1:11" x14ac:dyDescent="0.2">
      <c r="A283" s="5" t="s">
        <v>186</v>
      </c>
      <c r="B283" s="91">
        <f>SUM(N50:N53)</f>
        <v>44171950</v>
      </c>
      <c r="C283" s="91">
        <f>SUM(Q50:Q53)</f>
        <v>47382652.101600006</v>
      </c>
      <c r="E283" s="5" t="s">
        <v>24</v>
      </c>
      <c r="F283" s="67">
        <v>13300000</v>
      </c>
      <c r="G283" s="67">
        <v>13603500</v>
      </c>
      <c r="H283" s="67">
        <v>13914382.5</v>
      </c>
      <c r="I283" s="67">
        <v>14232841.087499999</v>
      </c>
    </row>
    <row r="284" spans="1:11" x14ac:dyDescent="0.2">
      <c r="A284" s="5" t="s">
        <v>187</v>
      </c>
      <c r="B284" s="91">
        <f>SUM(N54:N57)</f>
        <v>1762500</v>
      </c>
      <c r="C284" s="91">
        <f>SUM(Q54:Q57)</f>
        <v>2034078.4040625</v>
      </c>
      <c r="E284" s="5" t="s">
        <v>16</v>
      </c>
      <c r="F284" s="67">
        <v>5700000</v>
      </c>
      <c r="G284" s="67">
        <v>5832000</v>
      </c>
      <c r="H284" s="67">
        <v>5967270</v>
      </c>
      <c r="I284" s="67">
        <v>6105897.4500000011</v>
      </c>
    </row>
    <row r="285" spans="1:11" x14ac:dyDescent="0.2">
      <c r="A285" s="5" t="s">
        <v>188</v>
      </c>
      <c r="B285" s="94">
        <v>0</v>
      </c>
      <c r="C285" s="94">
        <v>0</v>
      </c>
      <c r="E285" s="5" t="s">
        <v>17</v>
      </c>
      <c r="F285" s="67">
        <v>4151950</v>
      </c>
      <c r="G285" s="67">
        <v>4249269</v>
      </c>
      <c r="H285" s="67">
        <v>4349034.18</v>
      </c>
      <c r="I285" s="67">
        <v>4451311.9566000002</v>
      </c>
    </row>
    <row r="286" spans="1:11" x14ac:dyDescent="0.2">
      <c r="A286" s="58" t="s">
        <v>19</v>
      </c>
      <c r="B286" s="93">
        <f>SUM(B283:B285)</f>
        <v>45934450</v>
      </c>
      <c r="C286" s="93">
        <f t="shared" ref="C286" si="78">SUM(C283:C285)</f>
        <v>49416730.505662508</v>
      </c>
      <c r="E286" s="5" t="s">
        <v>26</v>
      </c>
      <c r="F286" s="67">
        <v>21020000</v>
      </c>
      <c r="G286" s="67">
        <v>21530700</v>
      </c>
      <c r="H286" s="67">
        <v>22054774.5</v>
      </c>
      <c r="I286" s="67">
        <v>22592601.607500002</v>
      </c>
    </row>
    <row r="287" spans="1:11" x14ac:dyDescent="0.2">
      <c r="A287" s="1" t="s">
        <v>183</v>
      </c>
      <c r="B287" s="92"/>
      <c r="C287" s="92"/>
      <c r="E287" s="5" t="s">
        <v>30</v>
      </c>
      <c r="F287" s="67">
        <v>127500</v>
      </c>
      <c r="G287" s="67">
        <v>131962.49999999997</v>
      </c>
      <c r="H287" s="67">
        <v>136581.18749999997</v>
      </c>
      <c r="I287" s="67">
        <v>141361.52906249996</v>
      </c>
    </row>
    <row r="288" spans="1:11" x14ac:dyDescent="0.2">
      <c r="A288" s="5" t="s">
        <v>35</v>
      </c>
      <c r="B288" s="91">
        <f>F293</f>
        <v>13345000</v>
      </c>
      <c r="C288" s="91">
        <f t="shared" ref="C288:C290" si="79">I293</f>
        <v>14381001.254362499</v>
      </c>
      <c r="E288" s="5" t="s">
        <v>29</v>
      </c>
      <c r="F288" s="67">
        <v>660000</v>
      </c>
      <c r="G288" s="67">
        <v>693000</v>
      </c>
      <c r="H288" s="67">
        <v>727650</v>
      </c>
      <c r="I288" s="67">
        <v>764032.5</v>
      </c>
    </row>
    <row r="289" spans="1:11" x14ac:dyDescent="0.2">
      <c r="A289" s="5" t="s">
        <v>36</v>
      </c>
      <c r="B289" s="91">
        <f>F294</f>
        <v>325000</v>
      </c>
      <c r="C289" s="91">
        <f t="shared" si="79"/>
        <v>325000</v>
      </c>
      <c r="E289" s="5" t="s">
        <v>31</v>
      </c>
      <c r="F289" s="67">
        <v>150000</v>
      </c>
      <c r="G289" s="67">
        <v>157500</v>
      </c>
      <c r="H289" s="67">
        <v>165375</v>
      </c>
      <c r="I289" s="67">
        <v>173643.75</v>
      </c>
    </row>
    <row r="290" spans="1:11" x14ac:dyDescent="0.2">
      <c r="A290" s="5" t="s">
        <v>64</v>
      </c>
      <c r="B290" s="91">
        <f>F295</f>
        <v>2150000</v>
      </c>
      <c r="C290" s="91">
        <f t="shared" si="79"/>
        <v>2150000</v>
      </c>
      <c r="E290" s="5" t="s">
        <v>32</v>
      </c>
      <c r="F290" s="67">
        <v>825000</v>
      </c>
      <c r="G290" s="67">
        <v>866250</v>
      </c>
      <c r="H290" s="67">
        <v>909562.5</v>
      </c>
      <c r="I290" s="67">
        <v>955040.625</v>
      </c>
    </row>
    <row r="291" spans="1:11" x14ac:dyDescent="0.2">
      <c r="A291" s="5" t="s">
        <v>42</v>
      </c>
      <c r="B291" s="91">
        <f>B62</f>
        <v>10400000</v>
      </c>
      <c r="C291" s="91">
        <f>E62</f>
        <v>11036563.200000001</v>
      </c>
      <c r="E291" s="58" t="s">
        <v>19</v>
      </c>
      <c r="F291" s="68">
        <v>45934450</v>
      </c>
      <c r="G291" s="68">
        <v>47064181.5</v>
      </c>
      <c r="H291" s="68">
        <v>48224629.8675</v>
      </c>
      <c r="I291" s="68">
        <v>49416730.505662508</v>
      </c>
    </row>
    <row r="292" spans="1:11" x14ac:dyDescent="0.2">
      <c r="A292" s="5" t="s">
        <v>189</v>
      </c>
      <c r="B292" s="91">
        <f>B63+B64+H65</f>
        <v>4465175</v>
      </c>
      <c r="C292" s="91">
        <f>E63+E64+K65</f>
        <v>4465175</v>
      </c>
      <c r="E292" s="1" t="s">
        <v>8</v>
      </c>
      <c r="F292" s="67"/>
      <c r="G292" s="67"/>
      <c r="H292" s="67"/>
      <c r="I292" s="67"/>
    </row>
    <row r="293" spans="1:11" x14ac:dyDescent="0.2">
      <c r="A293" s="5" t="s">
        <v>38</v>
      </c>
      <c r="B293" s="91">
        <f>F297</f>
        <v>7860000</v>
      </c>
      <c r="C293" s="91">
        <f t="shared" ref="C293" si="80">I297</f>
        <v>8459869.567499999</v>
      </c>
      <c r="E293" s="5" t="s">
        <v>35</v>
      </c>
      <c r="F293" s="67">
        <v>13345000</v>
      </c>
      <c r="G293" s="67">
        <v>13680985.5</v>
      </c>
      <c r="H293" s="67">
        <v>14026226.0175</v>
      </c>
      <c r="I293" s="67">
        <v>14381001.254362499</v>
      </c>
    </row>
    <row r="294" spans="1:11" x14ac:dyDescent="0.2">
      <c r="A294" s="5" t="s">
        <v>39</v>
      </c>
      <c r="B294" s="91">
        <f>H298</f>
        <v>1100000</v>
      </c>
      <c r="C294" s="91">
        <f>K298</f>
        <v>1100000</v>
      </c>
      <c r="E294" s="5" t="s">
        <v>36</v>
      </c>
      <c r="F294" s="67">
        <v>325000</v>
      </c>
      <c r="G294" s="67">
        <v>325000</v>
      </c>
      <c r="H294" s="67">
        <v>325000</v>
      </c>
      <c r="I294" s="67">
        <v>325000</v>
      </c>
    </row>
    <row r="295" spans="1:11" x14ac:dyDescent="0.2">
      <c r="A295" s="5" t="s">
        <v>40</v>
      </c>
      <c r="B295" s="91">
        <f>H299</f>
        <v>2300000</v>
      </c>
      <c r="C295" s="91">
        <f>K299</f>
        <v>2300000</v>
      </c>
      <c r="E295" s="5" t="s">
        <v>64</v>
      </c>
      <c r="F295" s="67">
        <v>2150000</v>
      </c>
      <c r="G295" s="67">
        <v>2150000</v>
      </c>
      <c r="H295" s="67">
        <v>2150000</v>
      </c>
      <c r="I295" s="67">
        <v>2150000</v>
      </c>
    </row>
    <row r="296" spans="1:11" x14ac:dyDescent="0.2">
      <c r="A296" s="5" t="s">
        <v>145</v>
      </c>
      <c r="B296" s="94">
        <v>0</v>
      </c>
      <c r="C296" s="94">
        <v>0</v>
      </c>
      <c r="E296" s="5" t="s">
        <v>45</v>
      </c>
      <c r="F296" s="67">
        <v>14865175</v>
      </c>
      <c r="G296" s="67">
        <v>15073175</v>
      </c>
      <c r="H296" s="67">
        <v>15285335</v>
      </c>
      <c r="I296" s="67">
        <v>15501738.200000001</v>
      </c>
    </row>
    <row r="297" spans="1:11" x14ac:dyDescent="0.2">
      <c r="A297" s="58" t="s">
        <v>19</v>
      </c>
      <c r="B297" s="93">
        <f>SUM(B288:B296)</f>
        <v>41945175</v>
      </c>
      <c r="C297" s="93">
        <f t="shared" ref="C297" si="81">SUM(C288:C296)</f>
        <v>44217609.021862507</v>
      </c>
      <c r="E297" s="5" t="s">
        <v>38</v>
      </c>
      <c r="F297" s="67">
        <v>7860000</v>
      </c>
      <c r="G297" s="67">
        <v>8054700</v>
      </c>
      <c r="H297" s="67">
        <v>8254606.5</v>
      </c>
      <c r="I297" s="67">
        <v>8459869.567499999</v>
      </c>
    </row>
    <row r="298" spans="1:11" x14ac:dyDescent="0.2">
      <c r="G298" s="5" t="s">
        <v>39</v>
      </c>
      <c r="H298" s="67">
        <v>1100000</v>
      </c>
      <c r="I298" s="67">
        <v>1100000</v>
      </c>
      <c r="J298" s="67">
        <v>1100000</v>
      </c>
      <c r="K298" s="67">
        <v>1100000</v>
      </c>
    </row>
    <row r="299" spans="1:11" x14ac:dyDescent="0.2">
      <c r="G299" s="5" t="s">
        <v>40</v>
      </c>
      <c r="H299" s="67">
        <v>2300000</v>
      </c>
      <c r="I299" s="67">
        <v>2300000</v>
      </c>
      <c r="J299" s="67">
        <v>2300000</v>
      </c>
      <c r="K299" s="67">
        <v>2300000</v>
      </c>
    </row>
    <row r="300" spans="1:11" x14ac:dyDescent="0.2">
      <c r="G300" s="58" t="s">
        <v>19</v>
      </c>
      <c r="H300" s="56">
        <v>41945175</v>
      </c>
      <c r="I300" s="56">
        <v>42683860.5</v>
      </c>
      <c r="J300" s="56">
        <v>43441167.517499998</v>
      </c>
      <c r="K300" s="56">
        <v>44217609.021862507</v>
      </c>
    </row>
    <row r="301" spans="1:11" x14ac:dyDescent="0.2">
      <c r="G301" s="35"/>
      <c r="H301" s="57"/>
      <c r="I301" s="57"/>
      <c r="J301" s="57"/>
      <c r="K301" s="57"/>
    </row>
    <row r="302" spans="1:11" x14ac:dyDescent="0.2">
      <c r="G302" s="1" t="s">
        <v>1</v>
      </c>
      <c r="H302" s="46">
        <v>3989275</v>
      </c>
      <c r="I302" s="46">
        <v>4380321</v>
      </c>
      <c r="J302" s="46">
        <v>4783462.3500000015</v>
      </c>
      <c r="K302" s="46">
        <v>5199121.4838000014</v>
      </c>
    </row>
    <row r="303" spans="1:11" x14ac:dyDescent="0.2">
      <c r="G303" s="34" t="s">
        <v>2</v>
      </c>
      <c r="H303" s="36">
        <v>8.6847126720794518E-2</v>
      </c>
      <c r="I303" s="36">
        <v>9.307122445123156E-2</v>
      </c>
      <c r="J303" s="36">
        <v>9.9191271413442569E-2</v>
      </c>
      <c r="K303" s="36">
        <v>0.10520974234028393</v>
      </c>
    </row>
  </sheetData>
  <mergeCells count="17">
    <mergeCell ref="A12:E12"/>
    <mergeCell ref="G12:K12"/>
    <mergeCell ref="M12:Q12"/>
    <mergeCell ref="C25:E26"/>
    <mergeCell ref="I26:K27"/>
    <mergeCell ref="O26:Q27"/>
    <mergeCell ref="B257:C257"/>
    <mergeCell ref="D257:E257"/>
    <mergeCell ref="C87:E87"/>
    <mergeCell ref="I87:K87"/>
    <mergeCell ref="I31:K33"/>
    <mergeCell ref="C83:E83"/>
    <mergeCell ref="I83:K83"/>
    <mergeCell ref="C84:E84"/>
    <mergeCell ref="I84:K84"/>
    <mergeCell ref="C86:E86"/>
    <mergeCell ref="I86:K86"/>
  </mergeCells>
  <hyperlinks>
    <hyperlink ref="F110" r:id="rId1" location=":~:text=It%20depends%20on%20factors%20like,to%20ensure%20adequate%20resource%20allocation." display="&gt;&gt;&gt; Needed to ensure a smooth transition. Consulting firms like Gartner recommend allocating at least 15% of the overall system implementation budget for change management - Source: link" xr:uid="{F3C1F568-D7C7-C24A-AE1D-5BE26C2BFFB2}"/>
  </hyperlinks>
  <pageMargins left="0.7" right="0.7" top="0.75" bottom="0.75" header="0.3" footer="0.3"/>
  <pageSetup paperSize="9"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9B50F12AAE08914D93692C313D863ECC" ma:contentTypeVersion="8" ma:contentTypeDescription="Creare un nuovo documento." ma:contentTypeScope="" ma:versionID="7182006043466ef2750e3d6f12de03ae">
  <xsd:schema xmlns:xsd="http://www.w3.org/2001/XMLSchema" xmlns:xs="http://www.w3.org/2001/XMLSchema" xmlns:p="http://schemas.microsoft.com/office/2006/metadata/properties" xmlns:ns2="6ecc64f8-f31c-4a8d-8167-36bb13ccb954" xmlns:ns3="bac11fb2-c15e-4f39-869b-688673156f40" targetNamespace="http://schemas.microsoft.com/office/2006/metadata/properties" ma:root="true" ma:fieldsID="6c09a28fe324fb580d0964a6dd6a0e06" ns2:_="" ns3:_="">
    <xsd:import namespace="6ecc64f8-f31c-4a8d-8167-36bb13ccb954"/>
    <xsd:import namespace="bac11fb2-c15e-4f39-869b-688673156f4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ObjectDetectorVersions" minOccurs="0"/>
                <xsd:element ref="ns2:MediaServiceSearchPropertie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cc64f8-f31c-4a8d-8167-36bb13ccb9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ac11fb2-c15e-4f39-869b-688673156f40" elementFormDefault="qualified">
    <xsd:import namespace="http://schemas.microsoft.com/office/2006/documentManagement/types"/>
    <xsd:import namespace="http://schemas.microsoft.com/office/infopath/2007/PartnerControls"/>
    <xsd:element name="SharedWithUsers" ma:index="14"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Condiviso con dettagl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14B2AA-6A72-4127-933E-FEF7E76F0A95}">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AAB991-F552-48F5-AEA5-25360EA9C6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ecc64f8-f31c-4a8d-8167-36bb13ccb954"/>
    <ds:schemaRef ds:uri="bac11fb2-c15e-4f39-869b-688673156f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ED1E2B1-DE10-46C8-9ADE-6F46CF419926}">
  <ds:schemaRefs>
    <ds:schemaRef ds:uri="http://schemas.microsoft.com/sharepoint/v3/contenttype/forms"/>
  </ds:schemaRefs>
</ds:datastoreItem>
</file>

<file path=docMetadata/LabelInfo.xml><?xml version="1.0" encoding="utf-8"?>
<clbl:labelList xmlns:clbl="http://schemas.microsoft.com/office/2020/mipLabelMetadata">
  <clbl:label id="{bb1a63eb-eb09-471a-a005-37b07792a5b5}" enabled="0" method="" siteId="{bb1a63eb-eb09-471a-a005-37b07792a5b5}"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4</vt:i4>
      </vt:variant>
    </vt:vector>
  </HeadingPairs>
  <TitlesOfParts>
    <vt:vector size="4" baseType="lpstr">
      <vt:lpstr>Input Data</vt:lpstr>
      <vt:lpstr>PetCare &amp; VetWell Business Plan</vt:lpstr>
      <vt:lpstr>Sensitivity</vt:lpstr>
      <vt:lpstr>Synergies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Pinciroli, Alessia (Native Strategy)</dc:creator>
  <cp:lastModifiedBy>Microsoft Office User</cp:lastModifiedBy>
  <dcterms:created xsi:type="dcterms:W3CDTF">2025-03-02T05:52:42Z</dcterms:created>
  <dcterms:modified xsi:type="dcterms:W3CDTF">2026-03-10T17:40:38Z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0x0101009B50F12AAE08914D93692C313D863ECC</vt:lpwstr>
  </property>
</Properties>
</file>